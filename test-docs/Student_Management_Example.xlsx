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Grades" sheetId="3" state="visible" r:id="rId3"/>
    <sheet xmlns:r="http://schemas.openxmlformats.org/officeDocument/2006/relationships" name="Boys" sheetId="4" state="visible" r:id="rId4"/>
    <sheet xmlns:r="http://schemas.openxmlformats.org/officeDocument/2006/relationships" name="Girls" sheetId="5" state="visible" r:id="rId5"/>
    <sheet xmlns:r="http://schemas.openxmlformats.org/officeDocument/2006/relationships" name="Analytics" sheetId="6" state="visible" r:id="rId6"/>
    <sheet xmlns:r="http://schemas.openxmlformats.org/officeDocument/2006/relationships" name="Reports" sheetId="7" state="visible" r:id="rId7"/>
  </sheets>
  <definedNames>
    <definedName name="_xlnm._FilterDatabase" localSheetId="1" hidden="1">'Students'!$A$1:$T$25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b val="1"/>
      <color rgb="00FFFFFF"/>
    </font>
    <font>
      <b val="1"/>
      <color rgb="001F4E79"/>
      <sz val="14"/>
    </font>
    <font>
      <b val="1"/>
    </font>
    <font>
      <b val="1"/>
      <color rgb="001F4E79"/>
      <sz val="16"/>
    </font>
    <font>
      <name val="Calibri"/>
      <b val="1"/>
      <color rgb="001F4E79"/>
      <sz val="20"/>
    </font>
    <font>
      <name val="Calibri"/>
      <i val="1"/>
      <color rgb="00808080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00B050"/>
        <bgColor rgb="0000B05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medium"/>
      <right style="medium"/>
      <bottom style="medium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7" fillId="6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64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Average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'Grades'!I1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'Grades'!$B$2:$B$25</f>
            </numRef>
          </cat>
          <val>
            <numRef>
              <f>'Grades'!$I$2:$I$25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'Dashboard'!$K$6:$K$11</f>
            </numRef>
          </cat>
          <val>
            <numRef>
              <f>'Dashboard'!$L$6:$L$11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Male — Student Averages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'Boys'!I3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'Boys'!$A$4:$A$15</f>
            </numRef>
          </cat>
          <val>
            <numRef>
              <f>'Boys'!$I$4:$I$15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Female — Student Averages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'Girls'!I3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'Girls'!$A$4:$A$15</f>
            </numRef>
          </cat>
          <val>
            <numRef>
              <f>'Girls'!$I$4:$I$15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Subject Averages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'Analytics'!$A$3:$A$7</f>
            </numRef>
          </cat>
          <val>
            <numRef>
              <f>'Analytics'!$B$3:$B$7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1" t="inlineStr">
        <is>
          <t>Test School — Academic Dashboard</t>
        </is>
      </c>
    </row>
    <row r="3">
      <c r="B3" s="2" t="inlineStr">
        <is>
          <t>Report Generated: 2026-08-05</t>
        </is>
      </c>
    </row>
    <row r="5">
      <c r="B5" s="3" t="inlineStr">
        <is>
          <t>Total Students</t>
        </is>
      </c>
      <c r="D5" s="3" t="inlineStr">
        <is>
          <t>Class Average</t>
        </is>
      </c>
      <c r="F5" s="3" t="inlineStr">
        <is>
          <t>Top Score</t>
        </is>
      </c>
      <c r="K5" s="4" t="inlineStr">
        <is>
          <t>Grade</t>
        </is>
      </c>
      <c r="L5" s="4" t="inlineStr">
        <is>
          <t>Count</t>
        </is>
      </c>
    </row>
    <row r="6">
      <c r="B6" s="5">
        <f>COUNTA(Students!A2:A25)</f>
        <v/>
      </c>
      <c r="D6" s="5">
        <f>ROUND(AVERAGE(Grades!I2:I25),2)</f>
        <v/>
      </c>
      <c r="F6" s="5">
        <f>MAX(Grades!I2:I25)</f>
        <v/>
      </c>
      <c r="K6" s="6" t="inlineStr">
        <is>
          <t>A</t>
        </is>
      </c>
      <c r="L6" s="6">
        <f>COUNTIF(Grades!J2:J25,"A")</f>
        <v/>
      </c>
    </row>
    <row r="7">
      <c r="K7" s="6" t="inlineStr">
        <is>
          <t>B</t>
        </is>
      </c>
      <c r="L7" s="6">
        <f>COUNTIF(Grades!J2:J25,"B")</f>
        <v/>
      </c>
    </row>
    <row r="8">
      <c r="K8" s="6" t="inlineStr">
        <is>
          <t>C</t>
        </is>
      </c>
      <c r="L8" s="6">
        <f>COUNTIF(Grades!J2:J25,"C")</f>
        <v/>
      </c>
    </row>
    <row r="9">
      <c r="B9" s="3" t="inlineStr">
        <is>
          <t>Pass Rate</t>
        </is>
      </c>
      <c r="D9" s="3" t="inlineStr">
        <is>
          <t>A Grades</t>
        </is>
      </c>
      <c r="F9" s="3" t="inlineStr">
        <is>
          <t>Average Attendance</t>
        </is>
      </c>
      <c r="K9" s="6" t="inlineStr">
        <is>
          <t>D</t>
        </is>
      </c>
      <c r="L9" s="6">
        <f>COUNTIF(Grades!J2:J25,"D")</f>
        <v/>
      </c>
    </row>
    <row r="10">
      <c r="B10" s="7">
        <f>COUNTIF(Grades!J2:J25,"&lt;&gt;F")/COUNTA(Grades!J2:J25)</f>
        <v/>
      </c>
      <c r="D10" s="5">
        <f>COUNTIF(Grades!J2:J25,"A")</f>
        <v/>
      </c>
      <c r="F10" s="5">
        <f>ROUND(AVERAGE(Students!L2:L25),1)</f>
        <v/>
      </c>
      <c r="K10" s="6" t="inlineStr">
        <is>
          <t>E</t>
        </is>
      </c>
      <c r="L10" s="6">
        <f>COUNTIF(Grades!J2:J25,"E")</f>
        <v/>
      </c>
    </row>
    <row r="11">
      <c r="K11" s="6" t="inlineStr">
        <is>
          <t>F</t>
        </is>
      </c>
      <c r="L11" s="6">
        <f>COUNTIF(Grades!J2:J25,"F")</f>
        <v/>
      </c>
    </row>
  </sheetData>
  <mergeCells count="14">
    <mergeCell ref="B5:C5"/>
    <mergeCell ref="F10:G11"/>
    <mergeCell ref="F5:G5"/>
    <mergeCell ref="D5:E5"/>
    <mergeCell ref="B10:C11"/>
    <mergeCell ref="D6:E7"/>
    <mergeCell ref="B2:H2"/>
    <mergeCell ref="B6:C7"/>
    <mergeCell ref="F6:G7"/>
    <mergeCell ref="D10:E11"/>
    <mergeCell ref="B9:C9"/>
    <mergeCell ref="B3:H3"/>
    <mergeCell ref="D9:E9"/>
    <mergeCell ref="F9:G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10" customWidth="1" min="13" max="13"/>
    <col width="12" customWidth="1" min="14" max="14"/>
    <col width="10" customWidth="1" min="15" max="15"/>
    <col width="8" customWidth="1" min="16" max="16"/>
    <col width="14" customWidth="1" min="17" max="17"/>
    <col width="10" customWidth="1" min="18" max="18"/>
    <col width="10" customWidth="1" min="19" max="19"/>
    <col width="8" customWidth="1" min="20" max="20"/>
  </cols>
  <sheetData>
    <row r="1">
      <c r="A1" s="4" t="inlineStr">
        <is>
          <t>StudentID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Gender</t>
        </is>
      </c>
      <c r="E1" s="4" t="inlineStr">
        <is>
          <t>Date of Birth</t>
        </is>
      </c>
      <c r="F1" s="4" t="inlineStr">
        <is>
          <t>Class</t>
        </is>
      </c>
      <c r="G1" s="4" t="inlineStr">
        <is>
          <t>House</t>
        </is>
      </c>
      <c r="H1" s="4" t="inlineStr">
        <is>
          <t>Parent Name</t>
        </is>
      </c>
      <c r="I1" s="4" t="inlineStr">
        <is>
          <t>Parent Phone</t>
        </is>
      </c>
      <c r="J1" s="4" t="inlineStr">
        <is>
          <t>Address</t>
        </is>
      </c>
      <c r="K1" s="4" t="inlineStr">
        <is>
          <t>Admission Date</t>
        </is>
      </c>
      <c r="L1" s="4" t="inlineStr">
        <is>
          <t>Attendance %</t>
        </is>
      </c>
      <c r="M1" s="4" t="inlineStr">
        <is>
          <t>English</t>
        </is>
      </c>
      <c r="N1" s="4" t="inlineStr">
        <is>
          <t>Mathematics</t>
        </is>
      </c>
      <c r="O1" s="4" t="inlineStr">
        <is>
          <t>Science</t>
        </is>
      </c>
      <c r="P1" s="4" t="inlineStr">
        <is>
          <t>ICT</t>
        </is>
      </c>
      <c r="Q1" s="4" t="inlineStr">
        <is>
          <t>Social Studies</t>
        </is>
      </c>
      <c r="R1" s="4" t="inlineStr">
        <is>
          <t>Total</t>
        </is>
      </c>
      <c r="S1" s="4" t="inlineStr">
        <is>
          <t>Average</t>
        </is>
      </c>
      <c r="T1" s="4" t="inlineStr">
        <is>
          <t>Grade</t>
        </is>
      </c>
    </row>
    <row r="2">
      <c r="A2" s="8" t="inlineStr">
        <is>
          <t>ST001</t>
        </is>
      </c>
      <c r="B2" s="8" t="inlineStr">
        <is>
          <t>Daniel</t>
        </is>
      </c>
      <c r="C2" s="8" t="inlineStr">
        <is>
          <t>Mensah</t>
        </is>
      </c>
      <c r="D2" s="8" t="inlineStr">
        <is>
          <t>Male</t>
        </is>
      </c>
      <c r="E2" s="8" t="inlineStr">
        <is>
          <t>2008-05-14</t>
        </is>
      </c>
      <c r="F2" s="8" t="inlineStr">
        <is>
          <t>Grade 10</t>
        </is>
      </c>
      <c r="G2" s="8" t="inlineStr">
        <is>
          <t>Blue</t>
        </is>
      </c>
      <c r="H2" s="8" t="inlineStr">
        <is>
          <t>Michael Mensah</t>
        </is>
      </c>
      <c r="I2" s="8" t="inlineStr">
        <is>
          <t>245001001</t>
        </is>
      </c>
      <c r="J2" s="8" t="inlineStr">
        <is>
          <t>Accra</t>
        </is>
      </c>
      <c r="K2" s="8" t="inlineStr">
        <is>
          <t>2022-09-05</t>
        </is>
      </c>
      <c r="L2" s="8" t="n">
        <v>95</v>
      </c>
      <c r="M2" s="8" t="n">
        <v>85</v>
      </c>
      <c r="N2" s="8" t="n">
        <v>78</v>
      </c>
      <c r="O2" s="8" t="n">
        <v>82</v>
      </c>
      <c r="P2" s="8" t="n">
        <v>90</v>
      </c>
      <c r="Q2" s="8" t="n">
        <v>79</v>
      </c>
      <c r="R2" s="8">
        <f>SUM(M2:Q2)</f>
        <v/>
      </c>
      <c r="S2" s="9">
        <f>ROUND(AVERAGE(M2:Q2),2)</f>
        <v/>
      </c>
      <c r="T2" s="10">
        <f>IF(S2&gt;=80,"A",IF(S2&gt;=70,"B",IF(S2&gt;=60,"C",IF(S2&gt;=50,"D",IF(S2&gt;=40,"E","F")))))</f>
        <v/>
      </c>
    </row>
    <row r="3">
      <c r="A3" s="6" t="inlineStr">
        <is>
          <t>ST002</t>
        </is>
      </c>
      <c r="B3" s="6" t="inlineStr">
        <is>
          <t>Ama</t>
        </is>
      </c>
      <c r="C3" s="6" t="inlineStr">
        <is>
          <t>Owusu</t>
        </is>
      </c>
      <c r="D3" s="6" t="inlineStr">
        <is>
          <t>Female</t>
        </is>
      </c>
      <c r="E3" s="6" t="inlineStr">
        <is>
          <t>2009-01-20</t>
        </is>
      </c>
      <c r="F3" s="6" t="inlineStr">
        <is>
          <t>Grade 10</t>
        </is>
      </c>
      <c r="G3" s="6" t="inlineStr">
        <is>
          <t>Red</t>
        </is>
      </c>
      <c r="H3" s="6" t="inlineStr">
        <is>
          <t>Evelyn Owusu</t>
        </is>
      </c>
      <c r="I3" s="6" t="inlineStr">
        <is>
          <t>245001002</t>
        </is>
      </c>
      <c r="J3" s="6" t="inlineStr">
        <is>
          <t>Kumasi</t>
        </is>
      </c>
      <c r="K3" s="6" t="inlineStr">
        <is>
          <t>2022-09-05</t>
        </is>
      </c>
      <c r="L3" s="6" t="n">
        <v>98</v>
      </c>
      <c r="M3" s="6" t="n">
        <v>92</v>
      </c>
      <c r="N3" s="6" t="n">
        <v>88</v>
      </c>
      <c r="O3" s="6" t="n">
        <v>75</v>
      </c>
      <c r="P3" s="6" t="n">
        <v>85</v>
      </c>
      <c r="Q3" s="6" t="n">
        <v>90</v>
      </c>
      <c r="R3" s="6">
        <f>SUM(M3:Q3)</f>
        <v/>
      </c>
      <c r="S3" s="11">
        <f>ROUND(AVERAGE(M3:Q3),2)</f>
        <v/>
      </c>
      <c r="T3" s="10">
        <f>IF(S3&gt;=80,"A",IF(S3&gt;=70,"B",IF(S3&gt;=60,"C",IF(S3&gt;=50,"D",IF(S3&gt;=40,"E","F")))))</f>
        <v/>
      </c>
    </row>
    <row r="4">
      <c r="A4" s="8" t="inlineStr">
        <is>
          <t>ST003</t>
        </is>
      </c>
      <c r="B4" s="8" t="inlineStr">
        <is>
          <t>Samuel</t>
        </is>
      </c>
      <c r="C4" s="8" t="inlineStr">
        <is>
          <t>Boateng</t>
        </is>
      </c>
      <c r="D4" s="8" t="inlineStr">
        <is>
          <t>Male</t>
        </is>
      </c>
      <c r="E4" s="8" t="inlineStr">
        <is>
          <t>2008-08-09</t>
        </is>
      </c>
      <c r="F4" s="8" t="inlineStr">
        <is>
          <t>Grade 10</t>
        </is>
      </c>
      <c r="G4" s="8" t="inlineStr">
        <is>
          <t>Green</t>
        </is>
      </c>
      <c r="H4" s="8" t="inlineStr">
        <is>
          <t>Joseph Boateng</t>
        </is>
      </c>
      <c r="I4" s="8" t="inlineStr">
        <is>
          <t>245001003</t>
        </is>
      </c>
      <c r="J4" s="8" t="inlineStr">
        <is>
          <t>Takoradi</t>
        </is>
      </c>
      <c r="K4" s="8" t="inlineStr">
        <is>
          <t>2022-09-05</t>
        </is>
      </c>
      <c r="L4" s="8" t="n">
        <v>91</v>
      </c>
      <c r="M4" s="8" t="n">
        <v>70</v>
      </c>
      <c r="N4" s="8" t="n">
        <v>65</v>
      </c>
      <c r="O4" s="8" t="n">
        <v>72</v>
      </c>
      <c r="P4" s="8" t="n">
        <v>68</v>
      </c>
      <c r="Q4" s="8" t="n">
        <v>74</v>
      </c>
      <c r="R4" s="8">
        <f>SUM(M4:Q4)</f>
        <v/>
      </c>
      <c r="S4" s="9">
        <f>ROUND(AVERAGE(M4:Q4),2)</f>
        <v/>
      </c>
      <c r="T4" s="10">
        <f>IF(S4&gt;=80,"A",IF(S4&gt;=70,"B",IF(S4&gt;=60,"C",IF(S4&gt;=50,"D",IF(S4&gt;=40,"E","F")))))</f>
        <v/>
      </c>
    </row>
    <row r="5">
      <c r="A5" s="6" t="inlineStr">
        <is>
          <t>ST004</t>
        </is>
      </c>
      <c r="B5" s="6" t="inlineStr">
        <is>
          <t>Grace</t>
        </is>
      </c>
      <c r="C5" s="6" t="inlineStr">
        <is>
          <t>Asante</t>
        </is>
      </c>
      <c r="D5" s="6" t="inlineStr">
        <is>
          <t>Female</t>
        </is>
      </c>
      <c r="E5" s="6" t="inlineStr">
        <is>
          <t>2009-02-18</t>
        </is>
      </c>
      <c r="F5" s="6" t="inlineStr">
        <is>
          <t>Grade 10</t>
        </is>
      </c>
      <c r="G5" s="6" t="inlineStr">
        <is>
          <t>Yellow</t>
        </is>
      </c>
      <c r="H5" s="6" t="inlineStr">
        <is>
          <t>Mary Asante</t>
        </is>
      </c>
      <c r="I5" s="6" t="inlineStr">
        <is>
          <t>245001004</t>
        </is>
      </c>
      <c r="J5" s="6" t="inlineStr">
        <is>
          <t>Cape Coast</t>
        </is>
      </c>
      <c r="K5" s="6" t="inlineStr">
        <is>
          <t>2022-09-05</t>
        </is>
      </c>
      <c r="L5" s="6" t="n">
        <v>96</v>
      </c>
      <c r="M5" s="6" t="n">
        <v>88</v>
      </c>
      <c r="N5" s="6" t="n">
        <v>95</v>
      </c>
      <c r="O5" s="6" t="n">
        <v>91</v>
      </c>
      <c r="P5" s="6" t="n">
        <v>87</v>
      </c>
      <c r="Q5" s="6" t="n">
        <v>89</v>
      </c>
      <c r="R5" s="6">
        <f>SUM(M5:Q5)</f>
        <v/>
      </c>
      <c r="S5" s="11">
        <f>ROUND(AVERAGE(M5:Q5),2)</f>
        <v/>
      </c>
      <c r="T5" s="10">
        <f>IF(S5&gt;=80,"A",IF(S5&gt;=70,"B",IF(S5&gt;=60,"C",IF(S5&gt;=50,"D",IF(S5&gt;=40,"E","F")))))</f>
        <v/>
      </c>
    </row>
    <row r="6">
      <c r="A6" s="8" t="inlineStr">
        <is>
          <t>ST005</t>
        </is>
      </c>
      <c r="B6" s="8" t="inlineStr">
        <is>
          <t>Kwame</t>
        </is>
      </c>
      <c r="C6" s="8" t="inlineStr">
        <is>
          <t>Ofori</t>
        </is>
      </c>
      <c r="D6" s="8" t="inlineStr">
        <is>
          <t>Male</t>
        </is>
      </c>
      <c r="E6" s="8" t="inlineStr">
        <is>
          <t>2008-11-01</t>
        </is>
      </c>
      <c r="F6" s="8" t="inlineStr">
        <is>
          <t>Grade 10</t>
        </is>
      </c>
      <c r="G6" s="8" t="inlineStr">
        <is>
          <t>Blue</t>
        </is>
      </c>
      <c r="H6" s="8" t="inlineStr">
        <is>
          <t>Patrick Ofori</t>
        </is>
      </c>
      <c r="I6" s="8" t="inlineStr">
        <is>
          <t>245001005</t>
        </is>
      </c>
      <c r="J6" s="8" t="inlineStr">
        <is>
          <t>Tema</t>
        </is>
      </c>
      <c r="K6" s="8" t="inlineStr">
        <is>
          <t>2022-09-05</t>
        </is>
      </c>
      <c r="L6" s="8" t="n">
        <v>90</v>
      </c>
      <c r="M6" s="8" t="n">
        <v>65</v>
      </c>
      <c r="N6" s="8" t="n">
        <v>60</v>
      </c>
      <c r="O6" s="8" t="n">
        <v>58</v>
      </c>
      <c r="P6" s="8" t="n">
        <v>70</v>
      </c>
      <c r="Q6" s="8" t="n">
        <v>62</v>
      </c>
      <c r="R6" s="8">
        <f>SUM(M6:Q6)</f>
        <v/>
      </c>
      <c r="S6" s="9">
        <f>ROUND(AVERAGE(M6:Q6),2)</f>
        <v/>
      </c>
      <c r="T6" s="10">
        <f>IF(S6&gt;=80,"A",IF(S6&gt;=70,"B",IF(S6&gt;=60,"C",IF(S6&gt;=50,"D",IF(S6&gt;=40,"E","F")))))</f>
        <v/>
      </c>
    </row>
    <row r="7">
      <c r="A7" s="6" t="inlineStr">
        <is>
          <t>ST006</t>
        </is>
      </c>
      <c r="B7" s="6" t="inlineStr">
        <is>
          <t>Abena</t>
        </is>
      </c>
      <c r="C7" s="6" t="inlineStr">
        <is>
          <t>Darko</t>
        </is>
      </c>
      <c r="D7" s="6" t="inlineStr">
        <is>
          <t>Female</t>
        </is>
      </c>
      <c r="E7" s="6" t="inlineStr">
        <is>
          <t>2009-06-11</t>
        </is>
      </c>
      <c r="F7" s="6" t="inlineStr">
        <is>
          <t>Grade 10</t>
        </is>
      </c>
      <c r="G7" s="6" t="inlineStr">
        <is>
          <t>Red</t>
        </is>
      </c>
      <c r="H7" s="6" t="inlineStr">
        <is>
          <t>Janet Darko</t>
        </is>
      </c>
      <c r="I7" s="6" t="inlineStr">
        <is>
          <t>245001006</t>
        </is>
      </c>
      <c r="J7" s="6" t="inlineStr">
        <is>
          <t>Sunyani</t>
        </is>
      </c>
      <c r="K7" s="6" t="inlineStr">
        <is>
          <t>2022-09-05</t>
        </is>
      </c>
      <c r="L7" s="6" t="n">
        <v>97</v>
      </c>
      <c r="M7" s="6" t="n">
        <v>78</v>
      </c>
      <c r="N7" s="6" t="n">
        <v>82</v>
      </c>
      <c r="O7" s="6" t="n">
        <v>80</v>
      </c>
      <c r="P7" s="6" t="n">
        <v>85</v>
      </c>
      <c r="Q7" s="6" t="n">
        <v>76</v>
      </c>
      <c r="R7" s="6">
        <f>SUM(M7:Q7)</f>
        <v/>
      </c>
      <c r="S7" s="11">
        <f>ROUND(AVERAGE(M7:Q7),2)</f>
        <v/>
      </c>
      <c r="T7" s="10">
        <f>IF(S7&gt;=80,"A",IF(S7&gt;=70,"B",IF(S7&gt;=60,"C",IF(S7&gt;=50,"D",IF(S7&gt;=40,"E","F")))))</f>
        <v/>
      </c>
    </row>
    <row r="8">
      <c r="A8" s="8" t="inlineStr">
        <is>
          <t>ST007</t>
        </is>
      </c>
      <c r="B8" s="8" t="inlineStr">
        <is>
          <t>Isaac</t>
        </is>
      </c>
      <c r="C8" s="8" t="inlineStr">
        <is>
          <t>Addo</t>
        </is>
      </c>
      <c r="D8" s="8" t="inlineStr">
        <is>
          <t>Male</t>
        </is>
      </c>
      <c r="E8" s="8" t="inlineStr">
        <is>
          <t>2008-03-24</t>
        </is>
      </c>
      <c r="F8" s="8" t="inlineStr">
        <is>
          <t>Grade 10</t>
        </is>
      </c>
      <c r="G8" s="8" t="inlineStr">
        <is>
          <t>Green</t>
        </is>
      </c>
      <c r="H8" s="8" t="inlineStr">
        <is>
          <t>Richard Addo</t>
        </is>
      </c>
      <c r="I8" s="8" t="inlineStr">
        <is>
          <t>245001007</t>
        </is>
      </c>
      <c r="J8" s="8" t="inlineStr">
        <is>
          <t>Ho</t>
        </is>
      </c>
      <c r="K8" s="8" t="inlineStr">
        <is>
          <t>2022-09-05</t>
        </is>
      </c>
      <c r="L8" s="8" t="n">
        <v>93</v>
      </c>
      <c r="M8" s="8" t="n">
        <v>72</v>
      </c>
      <c r="N8" s="8" t="n">
        <v>68</v>
      </c>
      <c r="O8" s="8" t="n">
        <v>75</v>
      </c>
      <c r="P8" s="8" t="n">
        <v>73</v>
      </c>
      <c r="Q8" s="8" t="n">
        <v>71</v>
      </c>
      <c r="R8" s="8">
        <f>SUM(M8:Q8)</f>
        <v/>
      </c>
      <c r="S8" s="9">
        <f>ROUND(AVERAGE(M8:Q8),2)</f>
        <v/>
      </c>
      <c r="T8" s="10">
        <f>IF(S8&gt;=80,"A",IF(S8&gt;=70,"B",IF(S8&gt;=60,"C",IF(S8&gt;=50,"D",IF(S8&gt;=40,"E","F")))))</f>
        <v/>
      </c>
    </row>
    <row r="9">
      <c r="A9" s="6" t="inlineStr">
        <is>
          <t>ST008</t>
        </is>
      </c>
      <c r="B9" s="6" t="inlineStr">
        <is>
          <t>Esi</t>
        </is>
      </c>
      <c r="C9" s="6" t="inlineStr">
        <is>
          <t>Appiah</t>
        </is>
      </c>
      <c r="D9" s="6" t="inlineStr">
        <is>
          <t>Female</t>
        </is>
      </c>
      <c r="E9" s="6" t="inlineStr">
        <is>
          <t>2009-04-30</t>
        </is>
      </c>
      <c r="F9" s="6" t="inlineStr">
        <is>
          <t>Grade 10</t>
        </is>
      </c>
      <c r="G9" s="6" t="inlineStr">
        <is>
          <t>Yellow</t>
        </is>
      </c>
      <c r="H9" s="6" t="inlineStr">
        <is>
          <t>Agnes Appiah</t>
        </is>
      </c>
      <c r="I9" s="6" t="inlineStr">
        <is>
          <t>245001008</t>
        </is>
      </c>
      <c r="J9" s="6" t="inlineStr">
        <is>
          <t>Koforidua</t>
        </is>
      </c>
      <c r="K9" s="6" t="inlineStr">
        <is>
          <t>2022-09-05</t>
        </is>
      </c>
      <c r="L9" s="6" t="n">
        <v>94</v>
      </c>
      <c r="M9" s="6" t="n">
        <v>95</v>
      </c>
      <c r="N9" s="6" t="n">
        <v>90</v>
      </c>
      <c r="O9" s="6" t="n">
        <v>88</v>
      </c>
      <c r="P9" s="6" t="n">
        <v>92</v>
      </c>
      <c r="Q9" s="6" t="n">
        <v>93</v>
      </c>
      <c r="R9" s="6">
        <f>SUM(M9:Q9)</f>
        <v/>
      </c>
      <c r="S9" s="11">
        <f>ROUND(AVERAGE(M9:Q9),2)</f>
        <v/>
      </c>
      <c r="T9" s="10">
        <f>IF(S9&gt;=80,"A",IF(S9&gt;=70,"B",IF(S9&gt;=60,"C",IF(S9&gt;=50,"D",IF(S9&gt;=40,"E","F")))))</f>
        <v/>
      </c>
    </row>
    <row r="10">
      <c r="A10" s="8" t="inlineStr">
        <is>
          <t>ST009</t>
        </is>
      </c>
      <c r="B10" s="8" t="inlineStr">
        <is>
          <t>Kojo</t>
        </is>
      </c>
      <c r="C10" s="8" t="inlineStr">
        <is>
          <t>Yeboah</t>
        </is>
      </c>
      <c r="D10" s="8" t="inlineStr">
        <is>
          <t>Male</t>
        </is>
      </c>
      <c r="E10" s="8" t="inlineStr">
        <is>
          <t>2008-09-16</t>
        </is>
      </c>
      <c r="F10" s="8" t="inlineStr">
        <is>
          <t>Grade 10</t>
        </is>
      </c>
      <c r="G10" s="8" t="inlineStr">
        <is>
          <t>Blue</t>
        </is>
      </c>
      <c r="H10" s="8" t="inlineStr">
        <is>
          <t>David Yeboah</t>
        </is>
      </c>
      <c r="I10" s="8" t="inlineStr">
        <is>
          <t>245001009</t>
        </is>
      </c>
      <c r="J10" s="8" t="inlineStr">
        <is>
          <t>Tamale</t>
        </is>
      </c>
      <c r="K10" s="8" t="inlineStr">
        <is>
          <t>2022-09-05</t>
        </is>
      </c>
      <c r="L10" s="8" t="n">
        <v>88</v>
      </c>
      <c r="M10" s="8" t="n">
        <v>60</v>
      </c>
      <c r="N10" s="8" t="n">
        <v>55</v>
      </c>
      <c r="O10" s="8" t="n">
        <v>62</v>
      </c>
      <c r="P10" s="8" t="n">
        <v>58</v>
      </c>
      <c r="Q10" s="8" t="n">
        <v>65</v>
      </c>
      <c r="R10" s="8">
        <f>SUM(M10:Q10)</f>
        <v/>
      </c>
      <c r="S10" s="9">
        <f>ROUND(AVERAGE(M10:Q10),2)</f>
        <v/>
      </c>
      <c r="T10" s="10">
        <f>IF(S10&gt;=80,"A",IF(S10&gt;=70,"B",IF(S10&gt;=60,"C",IF(S10&gt;=50,"D",IF(S10&gt;=40,"E","F")))))</f>
        <v/>
      </c>
    </row>
    <row r="11">
      <c r="A11" s="6" t="inlineStr">
        <is>
          <t>ST010</t>
        </is>
      </c>
      <c r="B11" s="6" t="inlineStr">
        <is>
          <t>Akosua</t>
        </is>
      </c>
      <c r="C11" s="6" t="inlineStr">
        <is>
          <t>Frimpong</t>
        </is>
      </c>
      <c r="D11" s="6" t="inlineStr">
        <is>
          <t>Female</t>
        </is>
      </c>
      <c r="E11" s="6" t="inlineStr">
        <is>
          <t>2009-07-28</t>
        </is>
      </c>
      <c r="F11" s="6" t="inlineStr">
        <is>
          <t>Grade 10</t>
        </is>
      </c>
      <c r="G11" s="6" t="inlineStr">
        <is>
          <t>Red</t>
        </is>
      </c>
      <c r="H11" s="6" t="inlineStr">
        <is>
          <t>Lucy Frimpong</t>
        </is>
      </c>
      <c r="I11" s="6" t="inlineStr">
        <is>
          <t>245001010</t>
        </is>
      </c>
      <c r="J11" s="6" t="inlineStr">
        <is>
          <t>Accra</t>
        </is>
      </c>
      <c r="K11" s="6" t="inlineStr">
        <is>
          <t>2022-09-05</t>
        </is>
      </c>
      <c r="L11" s="6" t="n">
        <v>99</v>
      </c>
      <c r="M11" s="6" t="n">
        <v>85</v>
      </c>
      <c r="N11" s="6" t="n">
        <v>80</v>
      </c>
      <c r="O11" s="6" t="n">
        <v>78</v>
      </c>
      <c r="P11" s="6" t="n">
        <v>82</v>
      </c>
      <c r="Q11" s="6" t="n">
        <v>84</v>
      </c>
      <c r="R11" s="6">
        <f>SUM(M11:Q11)</f>
        <v/>
      </c>
      <c r="S11" s="11">
        <f>ROUND(AVERAGE(M11:Q11),2)</f>
        <v/>
      </c>
      <c r="T11" s="10">
        <f>IF(S11&gt;=80,"A",IF(S11&gt;=70,"B",IF(S11&gt;=60,"C",IF(S11&gt;=50,"D",IF(S11&gt;=40,"E","F")))))</f>
        <v/>
      </c>
    </row>
    <row r="12">
      <c r="A12" s="8" t="inlineStr">
        <is>
          <t>ST011</t>
        </is>
      </c>
      <c r="B12" s="8" t="inlineStr">
        <is>
          <t>Nathan</t>
        </is>
      </c>
      <c r="C12" s="8" t="inlineStr">
        <is>
          <t>Agyeman</t>
        </is>
      </c>
      <c r="D12" s="8" t="inlineStr">
        <is>
          <t>Male</t>
        </is>
      </c>
      <c r="E12" s="8" t="inlineStr">
        <is>
          <t>2008-12-12</t>
        </is>
      </c>
      <c r="F12" s="8" t="inlineStr">
        <is>
          <t>Grade 10</t>
        </is>
      </c>
      <c r="G12" s="8" t="inlineStr">
        <is>
          <t>Green</t>
        </is>
      </c>
      <c r="H12" s="8" t="inlineStr">
        <is>
          <t>Stephen Agyeman</t>
        </is>
      </c>
      <c r="I12" s="8" t="inlineStr">
        <is>
          <t>245001011</t>
        </is>
      </c>
      <c r="J12" s="8" t="inlineStr">
        <is>
          <t>Kumasi</t>
        </is>
      </c>
      <c r="K12" s="8" t="inlineStr">
        <is>
          <t>2022-09-05</t>
        </is>
      </c>
      <c r="L12" s="8" t="n">
        <v>92</v>
      </c>
      <c r="M12" s="8" t="n">
        <v>68</v>
      </c>
      <c r="N12" s="8" t="n">
        <v>72</v>
      </c>
      <c r="O12" s="8" t="n">
        <v>70</v>
      </c>
      <c r="P12" s="8" t="n">
        <v>65</v>
      </c>
      <c r="Q12" s="8" t="n">
        <v>69</v>
      </c>
      <c r="R12" s="8">
        <f>SUM(M12:Q12)</f>
        <v/>
      </c>
      <c r="S12" s="9">
        <f>ROUND(AVERAGE(M12:Q12),2)</f>
        <v/>
      </c>
      <c r="T12" s="10">
        <f>IF(S12&gt;=80,"A",IF(S12&gt;=70,"B",IF(S12&gt;=60,"C",IF(S12&gt;=50,"D",IF(S12&gt;=40,"E","F")))))</f>
        <v/>
      </c>
    </row>
    <row r="13">
      <c r="A13" s="6" t="inlineStr">
        <is>
          <t>ST012</t>
        </is>
      </c>
      <c r="B13" s="6" t="inlineStr">
        <is>
          <t>Linda</t>
        </is>
      </c>
      <c r="C13" s="6" t="inlineStr">
        <is>
          <t>Antwi</t>
        </is>
      </c>
      <c r="D13" s="6" t="inlineStr">
        <is>
          <t>Female</t>
        </is>
      </c>
      <c r="E13" s="6" t="inlineStr">
        <is>
          <t>2009-08-17</t>
        </is>
      </c>
      <c r="F13" s="6" t="inlineStr">
        <is>
          <t>Grade 10</t>
        </is>
      </c>
      <c r="G13" s="6" t="inlineStr">
        <is>
          <t>Yellow</t>
        </is>
      </c>
      <c r="H13" s="6" t="inlineStr">
        <is>
          <t>Rebecca Antwi</t>
        </is>
      </c>
      <c r="I13" s="6" t="inlineStr">
        <is>
          <t>245001012</t>
        </is>
      </c>
      <c r="J13" s="6" t="inlineStr">
        <is>
          <t>Kasoa</t>
        </is>
      </c>
      <c r="K13" s="6" t="inlineStr">
        <is>
          <t>2022-09-05</t>
        </is>
      </c>
      <c r="L13" s="6" t="n">
        <v>95</v>
      </c>
      <c r="M13" s="6" t="n">
        <v>90</v>
      </c>
      <c r="N13" s="6" t="n">
        <v>85</v>
      </c>
      <c r="O13" s="6" t="n">
        <v>87</v>
      </c>
      <c r="P13" s="6" t="n">
        <v>88</v>
      </c>
      <c r="Q13" s="6" t="n">
        <v>86</v>
      </c>
      <c r="R13" s="6">
        <f>SUM(M13:Q13)</f>
        <v/>
      </c>
      <c r="S13" s="11">
        <f>ROUND(AVERAGE(M13:Q13),2)</f>
        <v/>
      </c>
      <c r="T13" s="10">
        <f>IF(S13&gt;=80,"A",IF(S13&gt;=70,"B",IF(S13&gt;=60,"C",IF(S13&gt;=50,"D",IF(S13&gt;=40,"E","F")))))</f>
        <v/>
      </c>
    </row>
    <row r="14">
      <c r="A14" s="8" t="inlineStr">
        <is>
          <t>ST013</t>
        </is>
      </c>
      <c r="B14" s="8" t="inlineStr">
        <is>
          <t>Joseph</t>
        </is>
      </c>
      <c r="C14" s="8" t="inlineStr">
        <is>
          <t>Bonsu</t>
        </is>
      </c>
      <c r="D14" s="8" t="inlineStr">
        <is>
          <t>Male</t>
        </is>
      </c>
      <c r="E14" s="8" t="inlineStr">
        <is>
          <t>2008-10-02</t>
        </is>
      </c>
      <c r="F14" s="8" t="inlineStr">
        <is>
          <t>Grade 10</t>
        </is>
      </c>
      <c r="G14" s="8" t="inlineStr">
        <is>
          <t>Blue</t>
        </is>
      </c>
      <c r="H14" s="8" t="inlineStr">
        <is>
          <t>Samuel Bonsu</t>
        </is>
      </c>
      <c r="I14" s="8" t="inlineStr">
        <is>
          <t>245001013</t>
        </is>
      </c>
      <c r="J14" s="8" t="inlineStr">
        <is>
          <t>Winneba</t>
        </is>
      </c>
      <c r="K14" s="8" t="inlineStr">
        <is>
          <t>2022-09-05</t>
        </is>
      </c>
      <c r="L14" s="8" t="n">
        <v>89</v>
      </c>
      <c r="M14" s="8" t="n">
        <v>75</v>
      </c>
      <c r="N14" s="8" t="n">
        <v>70</v>
      </c>
      <c r="O14" s="8" t="n">
        <v>68</v>
      </c>
      <c r="P14" s="8" t="n">
        <v>72</v>
      </c>
      <c r="Q14" s="8" t="n">
        <v>73</v>
      </c>
      <c r="R14" s="8">
        <f>SUM(M14:Q14)</f>
        <v/>
      </c>
      <c r="S14" s="9">
        <f>ROUND(AVERAGE(M14:Q14),2)</f>
        <v/>
      </c>
      <c r="T14" s="10">
        <f>IF(S14&gt;=80,"A",IF(S14&gt;=70,"B",IF(S14&gt;=60,"C",IF(S14&gt;=50,"D",IF(S14&gt;=40,"E","F")))))</f>
        <v/>
      </c>
    </row>
    <row r="15">
      <c r="A15" s="6" t="inlineStr">
        <is>
          <t>ST014</t>
        </is>
      </c>
      <c r="B15" s="6" t="inlineStr">
        <is>
          <t>Patricia</t>
        </is>
      </c>
      <c r="C15" s="6" t="inlineStr">
        <is>
          <t>Nyarko</t>
        </is>
      </c>
      <c r="D15" s="6" t="inlineStr">
        <is>
          <t>Female</t>
        </is>
      </c>
      <c r="E15" s="6" t="inlineStr">
        <is>
          <t>2009-09-15</t>
        </is>
      </c>
      <c r="F15" s="6" t="inlineStr">
        <is>
          <t>Grade 10</t>
        </is>
      </c>
      <c r="G15" s="6" t="inlineStr">
        <is>
          <t>Red</t>
        </is>
      </c>
      <c r="H15" s="6" t="inlineStr">
        <is>
          <t>Elizabeth Nyarko</t>
        </is>
      </c>
      <c r="I15" s="6" t="inlineStr">
        <is>
          <t>245001014</t>
        </is>
      </c>
      <c r="J15" s="6" t="inlineStr">
        <is>
          <t>Accra</t>
        </is>
      </c>
      <c r="K15" s="6" t="inlineStr">
        <is>
          <t>2022-09-05</t>
        </is>
      </c>
      <c r="L15" s="6" t="n">
        <v>97</v>
      </c>
      <c r="M15" s="6" t="n">
        <v>82</v>
      </c>
      <c r="N15" s="6" t="n">
        <v>78</v>
      </c>
      <c r="O15" s="6" t="n">
        <v>80</v>
      </c>
      <c r="P15" s="6" t="n">
        <v>85</v>
      </c>
      <c r="Q15" s="6" t="n">
        <v>79</v>
      </c>
      <c r="R15" s="6">
        <f>SUM(M15:Q15)</f>
        <v/>
      </c>
      <c r="S15" s="11">
        <f>ROUND(AVERAGE(M15:Q15),2)</f>
        <v/>
      </c>
      <c r="T15" s="10">
        <f>IF(S15&gt;=80,"A",IF(S15&gt;=70,"B",IF(S15&gt;=60,"C",IF(S15&gt;=50,"D",IF(S15&gt;=40,"E","F")))))</f>
        <v/>
      </c>
    </row>
    <row r="16">
      <c r="A16" s="8" t="inlineStr">
        <is>
          <t>ST015</t>
        </is>
      </c>
      <c r="B16" s="8" t="inlineStr">
        <is>
          <t>Elvis</t>
        </is>
      </c>
      <c r="C16" s="8" t="inlineStr">
        <is>
          <t>Kusi</t>
        </is>
      </c>
      <c r="D16" s="8" t="inlineStr">
        <is>
          <t>Male</t>
        </is>
      </c>
      <c r="E16" s="8" t="inlineStr">
        <is>
          <t>2008-01-29</t>
        </is>
      </c>
      <c r="F16" s="8" t="inlineStr">
        <is>
          <t>Grade 10</t>
        </is>
      </c>
      <c r="G16" s="8" t="inlineStr">
        <is>
          <t>Green</t>
        </is>
      </c>
      <c r="H16" s="8" t="inlineStr">
        <is>
          <t>Eric Kusi</t>
        </is>
      </c>
      <c r="I16" s="8" t="inlineStr">
        <is>
          <t>245001015</t>
        </is>
      </c>
      <c r="J16" s="8" t="inlineStr">
        <is>
          <t>Tema</t>
        </is>
      </c>
      <c r="K16" s="8" t="inlineStr">
        <is>
          <t>2022-09-05</t>
        </is>
      </c>
      <c r="L16" s="8" t="n">
        <v>94</v>
      </c>
      <c r="M16" s="8" t="n">
        <v>55</v>
      </c>
      <c r="N16" s="8" t="n">
        <v>50</v>
      </c>
      <c r="O16" s="8" t="n">
        <v>48</v>
      </c>
      <c r="P16" s="8" t="n">
        <v>60</v>
      </c>
      <c r="Q16" s="8" t="n">
        <v>52</v>
      </c>
      <c r="R16" s="8">
        <f>SUM(M16:Q16)</f>
        <v/>
      </c>
      <c r="S16" s="9">
        <f>ROUND(AVERAGE(M16:Q16),2)</f>
        <v/>
      </c>
      <c r="T16" s="10">
        <f>IF(S16&gt;=80,"A",IF(S16&gt;=70,"B",IF(S16&gt;=60,"C",IF(S16&gt;=50,"D",IF(S16&gt;=40,"E","F")))))</f>
        <v/>
      </c>
    </row>
    <row r="17">
      <c r="A17" s="6" t="inlineStr">
        <is>
          <t>ST016</t>
        </is>
      </c>
      <c r="B17" s="6" t="inlineStr">
        <is>
          <t>Ruth</t>
        </is>
      </c>
      <c r="C17" s="6" t="inlineStr">
        <is>
          <t>Opoku</t>
        </is>
      </c>
      <c r="D17" s="6" t="inlineStr">
        <is>
          <t>Female</t>
        </is>
      </c>
      <c r="E17" s="6" t="inlineStr">
        <is>
          <t>2009-03-10</t>
        </is>
      </c>
      <c r="F17" s="6" t="inlineStr">
        <is>
          <t>Grade 10</t>
        </is>
      </c>
      <c r="G17" s="6" t="inlineStr">
        <is>
          <t>Yellow</t>
        </is>
      </c>
      <c r="H17" s="6" t="inlineStr">
        <is>
          <t>Martha Opoku</t>
        </is>
      </c>
      <c r="I17" s="6" t="inlineStr">
        <is>
          <t>245001016</t>
        </is>
      </c>
      <c r="J17" s="6" t="inlineStr">
        <is>
          <t>Kumasi</t>
        </is>
      </c>
      <c r="K17" s="6" t="inlineStr">
        <is>
          <t>2022-09-05</t>
        </is>
      </c>
      <c r="L17" s="6" t="n">
        <v>98</v>
      </c>
      <c r="M17" s="6" t="n">
        <v>88</v>
      </c>
      <c r="N17" s="6" t="n">
        <v>92</v>
      </c>
      <c r="O17" s="6" t="n">
        <v>85</v>
      </c>
      <c r="P17" s="6" t="n">
        <v>90</v>
      </c>
      <c r="Q17" s="6" t="n">
        <v>86</v>
      </c>
      <c r="R17" s="6">
        <f>SUM(M17:Q17)</f>
        <v/>
      </c>
      <c r="S17" s="11">
        <f>ROUND(AVERAGE(M17:Q17),2)</f>
        <v/>
      </c>
      <c r="T17" s="10">
        <f>IF(S17&gt;=80,"A",IF(S17&gt;=70,"B",IF(S17&gt;=60,"C",IF(S17&gt;=50,"D",IF(S17&gt;=40,"E","F")))))</f>
        <v/>
      </c>
    </row>
    <row r="18">
      <c r="A18" s="8" t="inlineStr">
        <is>
          <t>ST017</t>
        </is>
      </c>
      <c r="B18" s="8" t="inlineStr">
        <is>
          <t>Emmanuel</t>
        </is>
      </c>
      <c r="C18" s="8" t="inlineStr">
        <is>
          <t>Tetteh</t>
        </is>
      </c>
      <c r="D18" s="8" t="inlineStr">
        <is>
          <t>Male</t>
        </is>
      </c>
      <c r="E18" s="8" t="inlineStr">
        <is>
          <t>2008-07-06</t>
        </is>
      </c>
      <c r="F18" s="8" t="inlineStr">
        <is>
          <t>Grade 10</t>
        </is>
      </c>
      <c r="G18" s="8" t="inlineStr">
        <is>
          <t>Blue</t>
        </is>
      </c>
      <c r="H18" s="8" t="inlineStr">
        <is>
          <t>Charles Tetteh</t>
        </is>
      </c>
      <c r="I18" s="8" t="inlineStr">
        <is>
          <t>245001017</t>
        </is>
      </c>
      <c r="J18" s="8" t="inlineStr">
        <is>
          <t>Accra</t>
        </is>
      </c>
      <c r="K18" s="8" t="inlineStr">
        <is>
          <t>2022-09-05</t>
        </is>
      </c>
      <c r="L18" s="8" t="n">
        <v>91</v>
      </c>
      <c r="M18" s="8" t="n">
        <v>70</v>
      </c>
      <c r="N18" s="8" t="n">
        <v>65</v>
      </c>
      <c r="O18" s="8" t="n">
        <v>72</v>
      </c>
      <c r="P18" s="8" t="n">
        <v>68</v>
      </c>
      <c r="Q18" s="8" t="n">
        <v>71</v>
      </c>
      <c r="R18" s="8">
        <f>SUM(M18:Q18)</f>
        <v/>
      </c>
      <c r="S18" s="9">
        <f>ROUND(AVERAGE(M18:Q18),2)</f>
        <v/>
      </c>
      <c r="T18" s="10">
        <f>IF(S18&gt;=80,"A",IF(S18&gt;=70,"B",IF(S18&gt;=60,"C",IF(S18&gt;=50,"D",IF(S18&gt;=40,"E","F")))))</f>
        <v/>
      </c>
    </row>
    <row r="19">
      <c r="A19" s="6" t="inlineStr">
        <is>
          <t>ST018</t>
        </is>
      </c>
      <c r="B19" s="6" t="inlineStr">
        <is>
          <t>Faith</t>
        </is>
      </c>
      <c r="C19" s="6" t="inlineStr">
        <is>
          <t>Adjei</t>
        </is>
      </c>
      <c r="D19" s="6" t="inlineStr">
        <is>
          <t>Female</t>
        </is>
      </c>
      <c r="E19" s="6" t="inlineStr">
        <is>
          <t>2009-11-19</t>
        </is>
      </c>
      <c r="F19" s="6" t="inlineStr">
        <is>
          <t>Grade 10</t>
        </is>
      </c>
      <c r="G19" s="6" t="inlineStr">
        <is>
          <t>Red</t>
        </is>
      </c>
      <c r="H19" s="6" t="inlineStr">
        <is>
          <t>Paul Adjei</t>
        </is>
      </c>
      <c r="I19" s="6" t="inlineStr">
        <is>
          <t>245001018</t>
        </is>
      </c>
      <c r="J19" s="6" t="inlineStr">
        <is>
          <t>Takoradi</t>
        </is>
      </c>
      <c r="K19" s="6" t="inlineStr">
        <is>
          <t>2022-09-05</t>
        </is>
      </c>
      <c r="L19" s="6" t="n">
        <v>96</v>
      </c>
      <c r="M19" s="6" t="n">
        <v>93</v>
      </c>
      <c r="N19" s="6" t="n">
        <v>88</v>
      </c>
      <c r="O19" s="6" t="n">
        <v>90</v>
      </c>
      <c r="P19" s="6" t="n">
        <v>95</v>
      </c>
      <c r="Q19" s="6" t="n">
        <v>91</v>
      </c>
      <c r="R19" s="6">
        <f>SUM(M19:Q19)</f>
        <v/>
      </c>
      <c r="S19" s="11">
        <f>ROUND(AVERAGE(M19:Q19),2)</f>
        <v/>
      </c>
      <c r="T19" s="10">
        <f>IF(S19&gt;=80,"A",IF(S19&gt;=70,"B",IF(S19&gt;=60,"C",IF(S19&gt;=50,"D",IF(S19&gt;=40,"E","F")))))</f>
        <v/>
      </c>
    </row>
    <row r="20">
      <c r="A20" s="8" t="inlineStr">
        <is>
          <t>ST019</t>
        </is>
      </c>
      <c r="B20" s="8" t="inlineStr">
        <is>
          <t>Benjamin</t>
        </is>
      </c>
      <c r="C20" s="8" t="inlineStr">
        <is>
          <t>Arthur</t>
        </is>
      </c>
      <c r="D20" s="8" t="inlineStr">
        <is>
          <t>Male</t>
        </is>
      </c>
      <c r="E20" s="8" t="inlineStr">
        <is>
          <t>2008-04-08</t>
        </is>
      </c>
      <c r="F20" s="8" t="inlineStr">
        <is>
          <t>Grade 10</t>
        </is>
      </c>
      <c r="G20" s="8" t="inlineStr">
        <is>
          <t>Green</t>
        </is>
      </c>
      <c r="H20" s="8" t="inlineStr">
        <is>
          <t>Thomas Arthur</t>
        </is>
      </c>
      <c r="I20" s="8" t="inlineStr">
        <is>
          <t>245001019</t>
        </is>
      </c>
      <c r="J20" s="8" t="inlineStr">
        <is>
          <t>Cape Coast</t>
        </is>
      </c>
      <c r="K20" s="8" t="inlineStr">
        <is>
          <t>2022-09-05</t>
        </is>
      </c>
      <c r="L20" s="8" t="n">
        <v>90</v>
      </c>
      <c r="M20" s="8" t="n">
        <v>78</v>
      </c>
      <c r="N20" s="8" t="n">
        <v>75</v>
      </c>
      <c r="O20" s="8" t="n">
        <v>70</v>
      </c>
      <c r="P20" s="8" t="n">
        <v>72</v>
      </c>
      <c r="Q20" s="8" t="n">
        <v>76</v>
      </c>
      <c r="R20" s="8">
        <f>SUM(M20:Q20)</f>
        <v/>
      </c>
      <c r="S20" s="9">
        <f>ROUND(AVERAGE(M20:Q20),2)</f>
        <v/>
      </c>
      <c r="T20" s="10">
        <f>IF(S20&gt;=80,"A",IF(S20&gt;=70,"B",IF(S20&gt;=60,"C",IF(S20&gt;=50,"D",IF(S20&gt;=40,"E","F")))))</f>
        <v/>
      </c>
    </row>
    <row r="21">
      <c r="A21" s="6" t="inlineStr">
        <is>
          <t>ST020</t>
        </is>
      </c>
      <c r="B21" s="6" t="inlineStr">
        <is>
          <t>Deborah</t>
        </is>
      </c>
      <c r="C21" s="6" t="inlineStr">
        <is>
          <t>Quaye</t>
        </is>
      </c>
      <c r="D21" s="6" t="inlineStr">
        <is>
          <t>Female</t>
        </is>
      </c>
      <c r="E21" s="6" t="inlineStr">
        <is>
          <t>2009-10-25</t>
        </is>
      </c>
      <c r="F21" s="6" t="inlineStr">
        <is>
          <t>Grade 10</t>
        </is>
      </c>
      <c r="G21" s="6" t="inlineStr">
        <is>
          <t>Yellow</t>
        </is>
      </c>
      <c r="H21" s="6" t="inlineStr">
        <is>
          <t>Naomi Quaye</t>
        </is>
      </c>
      <c r="I21" s="6" t="inlineStr">
        <is>
          <t>245001020</t>
        </is>
      </c>
      <c r="J21" s="6" t="inlineStr">
        <is>
          <t>Ho</t>
        </is>
      </c>
      <c r="K21" s="6" t="inlineStr">
        <is>
          <t>2022-09-05</t>
        </is>
      </c>
      <c r="L21" s="6" t="n">
        <v>99</v>
      </c>
      <c r="M21" s="6" t="n">
        <v>86</v>
      </c>
      <c r="N21" s="6" t="n">
        <v>80</v>
      </c>
      <c r="O21" s="6" t="n">
        <v>82</v>
      </c>
      <c r="P21" s="6" t="n">
        <v>88</v>
      </c>
      <c r="Q21" s="6" t="n">
        <v>84</v>
      </c>
      <c r="R21" s="6">
        <f>SUM(M21:Q21)</f>
        <v/>
      </c>
      <c r="S21" s="11">
        <f>ROUND(AVERAGE(M21:Q21),2)</f>
        <v/>
      </c>
      <c r="T21" s="10">
        <f>IF(S21&gt;=80,"A",IF(S21&gt;=70,"B",IF(S21&gt;=60,"C",IF(S21&gt;=50,"D",IF(S21&gt;=40,"E","F")))))</f>
        <v/>
      </c>
    </row>
    <row r="22">
      <c r="A22" s="8" t="inlineStr">
        <is>
          <t>ST021</t>
        </is>
      </c>
      <c r="B22" s="8" t="inlineStr">
        <is>
          <t>Prince</t>
        </is>
      </c>
      <c r="C22" s="8" t="inlineStr">
        <is>
          <t>Amankwah</t>
        </is>
      </c>
      <c r="D22" s="8" t="inlineStr">
        <is>
          <t>Male</t>
        </is>
      </c>
      <c r="E22" s="8" t="inlineStr">
        <is>
          <t>2008-06-18</t>
        </is>
      </c>
      <c r="F22" s="8" t="inlineStr">
        <is>
          <t>Grade 10</t>
        </is>
      </c>
      <c r="G22" s="8" t="inlineStr">
        <is>
          <t>Blue</t>
        </is>
      </c>
      <c r="H22" s="8" t="inlineStr">
        <is>
          <t>Daniel Amankwah</t>
        </is>
      </c>
      <c r="I22" s="8" t="inlineStr">
        <is>
          <t>245001021</t>
        </is>
      </c>
      <c r="J22" s="8" t="inlineStr">
        <is>
          <t>Koforidua</t>
        </is>
      </c>
      <c r="K22" s="8" t="inlineStr">
        <is>
          <t>2022-09-05</t>
        </is>
      </c>
      <c r="L22" s="8" t="n">
        <v>93</v>
      </c>
      <c r="M22" s="8" t="n">
        <v>65</v>
      </c>
      <c r="N22" s="8" t="n">
        <v>60</v>
      </c>
      <c r="O22" s="8" t="n">
        <v>68</v>
      </c>
      <c r="P22" s="8" t="n">
        <v>62</v>
      </c>
      <c r="Q22" s="8" t="n">
        <v>64</v>
      </c>
      <c r="R22" s="8">
        <f>SUM(M22:Q22)</f>
        <v/>
      </c>
      <c r="S22" s="9">
        <f>ROUND(AVERAGE(M22:Q22),2)</f>
        <v/>
      </c>
      <c r="T22" s="10">
        <f>IF(S22&gt;=80,"A",IF(S22&gt;=70,"B",IF(S22&gt;=60,"C",IF(S22&gt;=50,"D",IF(S22&gt;=40,"E","F")))))</f>
        <v/>
      </c>
    </row>
    <row r="23">
      <c r="A23" s="6" t="inlineStr">
        <is>
          <t>ST022</t>
        </is>
      </c>
      <c r="B23" s="6" t="inlineStr">
        <is>
          <t>Esther</t>
        </is>
      </c>
      <c r="C23" s="6" t="inlineStr">
        <is>
          <t>Ansah</t>
        </is>
      </c>
      <c r="D23" s="6" t="inlineStr">
        <is>
          <t>Female</t>
        </is>
      </c>
      <c r="E23" s="6" t="inlineStr">
        <is>
          <t>2009-12-04</t>
        </is>
      </c>
      <c r="F23" s="6" t="inlineStr">
        <is>
          <t>Grade 10</t>
        </is>
      </c>
      <c r="G23" s="6" t="inlineStr">
        <is>
          <t>Red</t>
        </is>
      </c>
      <c r="H23" s="6" t="inlineStr">
        <is>
          <t>Joyce Ansah</t>
        </is>
      </c>
      <c r="I23" s="6" t="inlineStr">
        <is>
          <t>245001022</t>
        </is>
      </c>
      <c r="J23" s="6" t="inlineStr">
        <is>
          <t>Tema</t>
        </is>
      </c>
      <c r="K23" s="6" t="inlineStr">
        <is>
          <t>2022-09-05</t>
        </is>
      </c>
      <c r="L23" s="6" t="n">
        <v>97</v>
      </c>
      <c r="M23" s="6" t="n">
        <v>91</v>
      </c>
      <c r="N23" s="6" t="n">
        <v>85</v>
      </c>
      <c r="O23" s="6" t="n">
        <v>88</v>
      </c>
      <c r="P23" s="6" t="n">
        <v>90</v>
      </c>
      <c r="Q23" s="6" t="n">
        <v>89</v>
      </c>
      <c r="R23" s="6">
        <f>SUM(M23:Q23)</f>
        <v/>
      </c>
      <c r="S23" s="11">
        <f>ROUND(AVERAGE(M23:Q23),2)</f>
        <v/>
      </c>
      <c r="T23" s="10">
        <f>IF(S23&gt;=80,"A",IF(S23&gt;=70,"B",IF(S23&gt;=60,"C",IF(S23&gt;=50,"D",IF(S23&gt;=40,"E","F")))))</f>
        <v/>
      </c>
    </row>
    <row r="24">
      <c r="A24" s="8" t="inlineStr">
        <is>
          <t>ST023</t>
        </is>
      </c>
      <c r="B24" s="8" t="inlineStr">
        <is>
          <t>Kelvin</t>
        </is>
      </c>
      <c r="C24" s="8" t="inlineStr">
        <is>
          <t>Aidoo</t>
        </is>
      </c>
      <c r="D24" s="8" t="inlineStr">
        <is>
          <t>Male</t>
        </is>
      </c>
      <c r="E24" s="8" t="inlineStr">
        <is>
          <t>2008-02-21</t>
        </is>
      </c>
      <c r="F24" s="8" t="inlineStr">
        <is>
          <t>Grade 10</t>
        </is>
      </c>
      <c r="G24" s="8" t="inlineStr">
        <is>
          <t>Green</t>
        </is>
      </c>
      <c r="H24" s="8" t="inlineStr">
        <is>
          <t>George Aidoo</t>
        </is>
      </c>
      <c r="I24" s="8" t="inlineStr">
        <is>
          <t>245001023</t>
        </is>
      </c>
      <c r="J24" s="8" t="inlineStr">
        <is>
          <t>Sunyani</t>
        </is>
      </c>
      <c r="K24" s="8" t="inlineStr">
        <is>
          <t>2022-09-05</t>
        </is>
      </c>
      <c r="L24" s="8" t="n">
        <v>92</v>
      </c>
      <c r="M24" s="8" t="n">
        <v>72</v>
      </c>
      <c r="N24" s="8" t="n">
        <v>68</v>
      </c>
      <c r="O24" s="8" t="n">
        <v>65</v>
      </c>
      <c r="P24" s="8" t="n">
        <v>70</v>
      </c>
      <c r="Q24" s="8" t="n">
        <v>71</v>
      </c>
      <c r="R24" s="8">
        <f>SUM(M24:Q24)</f>
        <v/>
      </c>
      <c r="S24" s="9">
        <f>ROUND(AVERAGE(M24:Q24),2)</f>
        <v/>
      </c>
      <c r="T24" s="10">
        <f>IF(S24&gt;=80,"A",IF(S24&gt;=70,"B",IF(S24&gt;=60,"C",IF(S24&gt;=50,"D",IF(S24&gt;=40,"E","F")))))</f>
        <v/>
      </c>
    </row>
    <row r="25">
      <c r="A25" s="6" t="inlineStr">
        <is>
          <t>ST024</t>
        </is>
      </c>
      <c r="B25" s="6" t="inlineStr">
        <is>
          <t>Mavis</t>
        </is>
      </c>
      <c r="C25" s="6" t="inlineStr">
        <is>
          <t>Boakye</t>
        </is>
      </c>
      <c r="D25" s="6" t="inlineStr">
        <is>
          <t>Female</t>
        </is>
      </c>
      <c r="E25" s="6" t="inlineStr">
        <is>
          <t>2009-05-27</t>
        </is>
      </c>
      <c r="F25" s="6" t="inlineStr">
        <is>
          <t>Grade 10</t>
        </is>
      </c>
      <c r="G25" s="6" t="inlineStr">
        <is>
          <t>Yellow</t>
        </is>
      </c>
      <c r="H25" s="6" t="inlineStr">
        <is>
          <t>Florence Boakye</t>
        </is>
      </c>
      <c r="I25" s="6" t="inlineStr">
        <is>
          <t>245001024</t>
        </is>
      </c>
      <c r="J25" s="6" t="inlineStr">
        <is>
          <t>Accra</t>
        </is>
      </c>
      <c r="K25" s="6" t="inlineStr">
        <is>
          <t>2022-09-05</t>
        </is>
      </c>
      <c r="L25" s="6" t="n">
        <v>98</v>
      </c>
      <c r="M25" s="6" t="n">
        <v>84</v>
      </c>
      <c r="N25" s="6" t="n">
        <v>88</v>
      </c>
      <c r="O25" s="6" t="n">
        <v>86</v>
      </c>
      <c r="P25" s="6" t="n">
        <v>82</v>
      </c>
      <c r="Q25" s="6" t="n">
        <v>85</v>
      </c>
      <c r="R25" s="6">
        <f>SUM(M25:Q25)</f>
        <v/>
      </c>
      <c r="S25" s="11">
        <f>ROUND(AVERAGE(M25:Q25),2)</f>
        <v/>
      </c>
      <c r="T25" s="10">
        <f>IF(S25&gt;=80,"A",IF(S25&gt;=70,"B",IF(S25&gt;=60,"C",IF(S25&gt;=50,"D",IF(S25&gt;=40,"E","F")))))</f>
        <v/>
      </c>
    </row>
  </sheetData>
  <autoFilter ref="A1:T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0" customWidth="1" min="5" max="5"/>
    <col width="8" customWidth="1" min="6" max="6"/>
    <col width="14" customWidth="1" min="7" max="7"/>
    <col width="10" customWidth="1" min="8" max="8"/>
    <col width="10" customWidth="1" min="9" max="9"/>
    <col width="8" customWidth="1" min="10" max="10"/>
    <col width="16" customWidth="1" min="11" max="11"/>
  </cols>
  <sheetData>
    <row r="1">
      <c r="A1" s="4" t="inlineStr">
        <is>
          <t>Student ID</t>
        </is>
      </c>
      <c r="B1" s="4" t="inlineStr">
        <is>
          <t>Name</t>
        </is>
      </c>
      <c r="C1" s="4" t="inlineStr">
        <is>
          <t>English</t>
        </is>
      </c>
      <c r="D1" s="4" t="inlineStr">
        <is>
          <t>Mathematics</t>
        </is>
      </c>
      <c r="E1" s="4" t="inlineStr">
        <is>
          <t>Science</t>
        </is>
      </c>
      <c r="F1" s="4" t="inlineStr">
        <is>
          <t>ICT</t>
        </is>
      </c>
      <c r="G1" s="4" t="inlineStr">
        <is>
          <t>Social Studies</t>
        </is>
      </c>
      <c r="H1" s="4" t="inlineStr">
        <is>
          <t>Total</t>
        </is>
      </c>
      <c r="I1" s="4" t="inlineStr">
        <is>
          <t>Average</t>
        </is>
      </c>
      <c r="J1" s="4" t="inlineStr">
        <is>
          <t>Grade</t>
        </is>
      </c>
      <c r="K1" s="4" t="inlineStr">
        <is>
          <t>Remarks</t>
        </is>
      </c>
    </row>
    <row r="2">
      <c r="A2" s="8" t="inlineStr">
        <is>
          <t>ST001</t>
        </is>
      </c>
      <c r="B2" s="8" t="inlineStr">
        <is>
          <t>Daniel Mensah</t>
        </is>
      </c>
      <c r="C2" s="8" t="n">
        <v>85</v>
      </c>
      <c r="D2" s="8" t="n">
        <v>78</v>
      </c>
      <c r="E2" s="8" t="n">
        <v>82</v>
      </c>
      <c r="F2" s="8" t="n">
        <v>90</v>
      </c>
      <c r="G2" s="8" t="n">
        <v>79</v>
      </c>
      <c r="H2" s="8">
        <f>SUM(C2:G2)</f>
        <v/>
      </c>
      <c r="I2" s="9">
        <f>ROUND(AVERAGE(C2:G2),2)</f>
        <v/>
      </c>
      <c r="J2" s="8">
        <f>IF(I2&gt;=80,"A",IF(I2&gt;=70,"B",IF(I2&gt;=60,"C",IF(I2&gt;=50,"D",IF(I2&gt;=40,"E","F")))))</f>
        <v/>
      </c>
      <c r="K2" s="8">
        <f>IF(J2="A","Excellent",IF(J2="B","Very Good",IF(J2="C","Good",IF(J2="D","Pass",IF(J2="E","Weak","Fail")))))</f>
        <v/>
      </c>
    </row>
    <row r="3">
      <c r="A3" s="6" t="inlineStr">
        <is>
          <t>ST002</t>
        </is>
      </c>
      <c r="B3" s="6" t="inlineStr">
        <is>
          <t>Ama Owusu</t>
        </is>
      </c>
      <c r="C3" s="6" t="n">
        <v>92</v>
      </c>
      <c r="D3" s="6" t="n">
        <v>88</v>
      </c>
      <c r="E3" s="6" t="n">
        <v>75</v>
      </c>
      <c r="F3" s="6" t="n">
        <v>85</v>
      </c>
      <c r="G3" s="6" t="n">
        <v>90</v>
      </c>
      <c r="H3" s="6">
        <f>SUM(C3:G3)</f>
        <v/>
      </c>
      <c r="I3" s="11">
        <f>ROUND(AVERAGE(C3:G3),2)</f>
        <v/>
      </c>
      <c r="J3" s="6">
        <f>IF(I3&gt;=80,"A",IF(I3&gt;=70,"B",IF(I3&gt;=60,"C",IF(I3&gt;=50,"D",IF(I3&gt;=40,"E","F")))))</f>
        <v/>
      </c>
      <c r="K3" s="6">
        <f>IF(J3="A","Excellent",IF(J3="B","Very Good",IF(J3="C","Good",IF(J3="D","Pass",IF(J3="E","Weak","Fail")))))</f>
        <v/>
      </c>
    </row>
    <row r="4">
      <c r="A4" s="8" t="inlineStr">
        <is>
          <t>ST003</t>
        </is>
      </c>
      <c r="B4" s="8" t="inlineStr">
        <is>
          <t>Samuel Boateng</t>
        </is>
      </c>
      <c r="C4" s="8" t="n">
        <v>70</v>
      </c>
      <c r="D4" s="8" t="n">
        <v>65</v>
      </c>
      <c r="E4" s="8" t="n">
        <v>72</v>
      </c>
      <c r="F4" s="8" t="n">
        <v>68</v>
      </c>
      <c r="G4" s="8" t="n">
        <v>74</v>
      </c>
      <c r="H4" s="8">
        <f>SUM(C4:G4)</f>
        <v/>
      </c>
      <c r="I4" s="9">
        <f>ROUND(AVERAGE(C4:G4),2)</f>
        <v/>
      </c>
      <c r="J4" s="8">
        <f>IF(I4&gt;=80,"A",IF(I4&gt;=70,"B",IF(I4&gt;=60,"C",IF(I4&gt;=50,"D",IF(I4&gt;=40,"E","F")))))</f>
        <v/>
      </c>
      <c r="K4" s="8">
        <f>IF(J4="A","Excellent",IF(J4="B","Very Good",IF(J4="C","Good",IF(J4="D","Pass",IF(J4="E","Weak","Fail")))))</f>
        <v/>
      </c>
    </row>
    <row r="5">
      <c r="A5" s="6" t="inlineStr">
        <is>
          <t>ST004</t>
        </is>
      </c>
      <c r="B5" s="6" t="inlineStr">
        <is>
          <t>Grace Asante</t>
        </is>
      </c>
      <c r="C5" s="6" t="n">
        <v>88</v>
      </c>
      <c r="D5" s="6" t="n">
        <v>95</v>
      </c>
      <c r="E5" s="6" t="n">
        <v>91</v>
      </c>
      <c r="F5" s="6" t="n">
        <v>87</v>
      </c>
      <c r="G5" s="6" t="n">
        <v>89</v>
      </c>
      <c r="H5" s="6">
        <f>SUM(C5:G5)</f>
        <v/>
      </c>
      <c r="I5" s="11">
        <f>ROUND(AVERAGE(C5:G5),2)</f>
        <v/>
      </c>
      <c r="J5" s="6">
        <f>IF(I5&gt;=80,"A",IF(I5&gt;=70,"B",IF(I5&gt;=60,"C",IF(I5&gt;=50,"D",IF(I5&gt;=40,"E","F")))))</f>
        <v/>
      </c>
      <c r="K5" s="6">
        <f>IF(J5="A","Excellent",IF(J5="B","Very Good",IF(J5="C","Good",IF(J5="D","Pass",IF(J5="E","Weak","Fail")))))</f>
        <v/>
      </c>
    </row>
    <row r="6">
      <c r="A6" s="8" t="inlineStr">
        <is>
          <t>ST005</t>
        </is>
      </c>
      <c r="B6" s="8" t="inlineStr">
        <is>
          <t>Kwame Ofori</t>
        </is>
      </c>
      <c r="C6" s="8" t="n">
        <v>65</v>
      </c>
      <c r="D6" s="8" t="n">
        <v>60</v>
      </c>
      <c r="E6" s="8" t="n">
        <v>58</v>
      </c>
      <c r="F6" s="8" t="n">
        <v>70</v>
      </c>
      <c r="G6" s="8" t="n">
        <v>62</v>
      </c>
      <c r="H6" s="8">
        <f>SUM(C6:G6)</f>
        <v/>
      </c>
      <c r="I6" s="9">
        <f>ROUND(AVERAGE(C6:G6),2)</f>
        <v/>
      </c>
      <c r="J6" s="8">
        <f>IF(I6&gt;=80,"A",IF(I6&gt;=70,"B",IF(I6&gt;=60,"C",IF(I6&gt;=50,"D",IF(I6&gt;=40,"E","F")))))</f>
        <v/>
      </c>
      <c r="K6" s="8">
        <f>IF(J6="A","Excellent",IF(J6="B","Very Good",IF(J6="C","Good",IF(J6="D","Pass",IF(J6="E","Weak","Fail")))))</f>
        <v/>
      </c>
    </row>
    <row r="7">
      <c r="A7" s="6" t="inlineStr">
        <is>
          <t>ST006</t>
        </is>
      </c>
      <c r="B7" s="6" t="inlineStr">
        <is>
          <t>Abena Darko</t>
        </is>
      </c>
      <c r="C7" s="6" t="n">
        <v>78</v>
      </c>
      <c r="D7" s="6" t="n">
        <v>82</v>
      </c>
      <c r="E7" s="6" t="n">
        <v>80</v>
      </c>
      <c r="F7" s="6" t="n">
        <v>85</v>
      </c>
      <c r="G7" s="6" t="n">
        <v>76</v>
      </c>
      <c r="H7" s="6">
        <f>SUM(C7:G7)</f>
        <v/>
      </c>
      <c r="I7" s="11">
        <f>ROUND(AVERAGE(C7:G7),2)</f>
        <v/>
      </c>
      <c r="J7" s="6">
        <f>IF(I7&gt;=80,"A",IF(I7&gt;=70,"B",IF(I7&gt;=60,"C",IF(I7&gt;=50,"D",IF(I7&gt;=40,"E","F")))))</f>
        <v/>
      </c>
      <c r="K7" s="6">
        <f>IF(J7="A","Excellent",IF(J7="B","Very Good",IF(J7="C","Good",IF(J7="D","Pass",IF(J7="E","Weak","Fail")))))</f>
        <v/>
      </c>
    </row>
    <row r="8">
      <c r="A8" s="8" t="inlineStr">
        <is>
          <t>ST007</t>
        </is>
      </c>
      <c r="B8" s="8" t="inlineStr">
        <is>
          <t>Isaac Addo</t>
        </is>
      </c>
      <c r="C8" s="8" t="n">
        <v>72</v>
      </c>
      <c r="D8" s="8" t="n">
        <v>68</v>
      </c>
      <c r="E8" s="8" t="n">
        <v>75</v>
      </c>
      <c r="F8" s="8" t="n">
        <v>73</v>
      </c>
      <c r="G8" s="8" t="n">
        <v>71</v>
      </c>
      <c r="H8" s="8">
        <f>SUM(C8:G8)</f>
        <v/>
      </c>
      <c r="I8" s="9">
        <f>ROUND(AVERAGE(C8:G8),2)</f>
        <v/>
      </c>
      <c r="J8" s="8">
        <f>IF(I8&gt;=80,"A",IF(I8&gt;=70,"B",IF(I8&gt;=60,"C",IF(I8&gt;=50,"D",IF(I8&gt;=40,"E","F")))))</f>
        <v/>
      </c>
      <c r="K8" s="8">
        <f>IF(J8="A","Excellent",IF(J8="B","Very Good",IF(J8="C","Good",IF(J8="D","Pass",IF(J8="E","Weak","Fail")))))</f>
        <v/>
      </c>
    </row>
    <row r="9">
      <c r="A9" s="6" t="inlineStr">
        <is>
          <t>ST008</t>
        </is>
      </c>
      <c r="B9" s="6" t="inlineStr">
        <is>
          <t>Esi Appiah</t>
        </is>
      </c>
      <c r="C9" s="6" t="n">
        <v>95</v>
      </c>
      <c r="D9" s="6" t="n">
        <v>90</v>
      </c>
      <c r="E9" s="6" t="n">
        <v>88</v>
      </c>
      <c r="F9" s="6" t="n">
        <v>92</v>
      </c>
      <c r="G9" s="6" t="n">
        <v>93</v>
      </c>
      <c r="H9" s="6">
        <f>SUM(C9:G9)</f>
        <v/>
      </c>
      <c r="I9" s="11">
        <f>ROUND(AVERAGE(C9:G9),2)</f>
        <v/>
      </c>
      <c r="J9" s="6">
        <f>IF(I9&gt;=80,"A",IF(I9&gt;=70,"B",IF(I9&gt;=60,"C",IF(I9&gt;=50,"D",IF(I9&gt;=40,"E","F")))))</f>
        <v/>
      </c>
      <c r="K9" s="6">
        <f>IF(J9="A","Excellent",IF(J9="B","Very Good",IF(J9="C","Good",IF(J9="D","Pass",IF(J9="E","Weak","Fail")))))</f>
        <v/>
      </c>
    </row>
    <row r="10">
      <c r="A10" s="8" t="inlineStr">
        <is>
          <t>ST009</t>
        </is>
      </c>
      <c r="B10" s="8" t="inlineStr">
        <is>
          <t>Kojo Yeboah</t>
        </is>
      </c>
      <c r="C10" s="8" t="n">
        <v>60</v>
      </c>
      <c r="D10" s="8" t="n">
        <v>55</v>
      </c>
      <c r="E10" s="8" t="n">
        <v>62</v>
      </c>
      <c r="F10" s="8" t="n">
        <v>58</v>
      </c>
      <c r="G10" s="8" t="n">
        <v>65</v>
      </c>
      <c r="H10" s="8">
        <f>SUM(C10:G10)</f>
        <v/>
      </c>
      <c r="I10" s="9">
        <f>ROUND(AVERAGE(C10:G10),2)</f>
        <v/>
      </c>
      <c r="J10" s="8">
        <f>IF(I10&gt;=80,"A",IF(I10&gt;=70,"B",IF(I10&gt;=60,"C",IF(I10&gt;=50,"D",IF(I10&gt;=40,"E","F")))))</f>
        <v/>
      </c>
      <c r="K10" s="8">
        <f>IF(J10="A","Excellent",IF(J10="B","Very Good",IF(J10="C","Good",IF(J10="D","Pass",IF(J10="E","Weak","Fail")))))</f>
        <v/>
      </c>
    </row>
    <row r="11">
      <c r="A11" s="6" t="inlineStr">
        <is>
          <t>ST010</t>
        </is>
      </c>
      <c r="B11" s="6" t="inlineStr">
        <is>
          <t>Akosua Frimpong</t>
        </is>
      </c>
      <c r="C11" s="6" t="n">
        <v>85</v>
      </c>
      <c r="D11" s="6" t="n">
        <v>80</v>
      </c>
      <c r="E11" s="6" t="n">
        <v>78</v>
      </c>
      <c r="F11" s="6" t="n">
        <v>82</v>
      </c>
      <c r="G11" s="6" t="n">
        <v>84</v>
      </c>
      <c r="H11" s="6">
        <f>SUM(C11:G11)</f>
        <v/>
      </c>
      <c r="I11" s="11">
        <f>ROUND(AVERAGE(C11:G11),2)</f>
        <v/>
      </c>
      <c r="J11" s="6">
        <f>IF(I11&gt;=80,"A",IF(I11&gt;=70,"B",IF(I11&gt;=60,"C",IF(I11&gt;=50,"D",IF(I11&gt;=40,"E","F")))))</f>
        <v/>
      </c>
      <c r="K11" s="6">
        <f>IF(J11="A","Excellent",IF(J11="B","Very Good",IF(J11="C","Good",IF(J11="D","Pass",IF(J11="E","Weak","Fail")))))</f>
        <v/>
      </c>
    </row>
    <row r="12">
      <c r="A12" s="8" t="inlineStr">
        <is>
          <t>ST011</t>
        </is>
      </c>
      <c r="B12" s="8" t="inlineStr">
        <is>
          <t>Nathan Agyeman</t>
        </is>
      </c>
      <c r="C12" s="8" t="n">
        <v>68</v>
      </c>
      <c r="D12" s="8" t="n">
        <v>72</v>
      </c>
      <c r="E12" s="8" t="n">
        <v>70</v>
      </c>
      <c r="F12" s="8" t="n">
        <v>65</v>
      </c>
      <c r="G12" s="8" t="n">
        <v>69</v>
      </c>
      <c r="H12" s="8">
        <f>SUM(C12:G12)</f>
        <v/>
      </c>
      <c r="I12" s="9">
        <f>ROUND(AVERAGE(C12:G12),2)</f>
        <v/>
      </c>
      <c r="J12" s="8">
        <f>IF(I12&gt;=80,"A",IF(I12&gt;=70,"B",IF(I12&gt;=60,"C",IF(I12&gt;=50,"D",IF(I12&gt;=40,"E","F")))))</f>
        <v/>
      </c>
      <c r="K12" s="8">
        <f>IF(J12="A","Excellent",IF(J12="B","Very Good",IF(J12="C","Good",IF(J12="D","Pass",IF(J12="E","Weak","Fail")))))</f>
        <v/>
      </c>
    </row>
    <row r="13">
      <c r="A13" s="6" t="inlineStr">
        <is>
          <t>ST012</t>
        </is>
      </c>
      <c r="B13" s="6" t="inlineStr">
        <is>
          <t>Linda Antwi</t>
        </is>
      </c>
      <c r="C13" s="6" t="n">
        <v>90</v>
      </c>
      <c r="D13" s="6" t="n">
        <v>85</v>
      </c>
      <c r="E13" s="6" t="n">
        <v>87</v>
      </c>
      <c r="F13" s="6" t="n">
        <v>88</v>
      </c>
      <c r="G13" s="6" t="n">
        <v>86</v>
      </c>
      <c r="H13" s="6">
        <f>SUM(C13:G13)</f>
        <v/>
      </c>
      <c r="I13" s="11">
        <f>ROUND(AVERAGE(C13:G13),2)</f>
        <v/>
      </c>
      <c r="J13" s="6">
        <f>IF(I13&gt;=80,"A",IF(I13&gt;=70,"B",IF(I13&gt;=60,"C",IF(I13&gt;=50,"D",IF(I13&gt;=40,"E","F")))))</f>
        <v/>
      </c>
      <c r="K13" s="6">
        <f>IF(J13="A","Excellent",IF(J13="B","Very Good",IF(J13="C","Good",IF(J13="D","Pass",IF(J13="E","Weak","Fail")))))</f>
        <v/>
      </c>
    </row>
    <row r="14">
      <c r="A14" s="8" t="inlineStr">
        <is>
          <t>ST013</t>
        </is>
      </c>
      <c r="B14" s="8" t="inlineStr">
        <is>
          <t>Joseph Bonsu</t>
        </is>
      </c>
      <c r="C14" s="8" t="n">
        <v>75</v>
      </c>
      <c r="D14" s="8" t="n">
        <v>70</v>
      </c>
      <c r="E14" s="8" t="n">
        <v>68</v>
      </c>
      <c r="F14" s="8" t="n">
        <v>72</v>
      </c>
      <c r="G14" s="8" t="n">
        <v>73</v>
      </c>
      <c r="H14" s="8">
        <f>SUM(C14:G14)</f>
        <v/>
      </c>
      <c r="I14" s="9">
        <f>ROUND(AVERAGE(C14:G14),2)</f>
        <v/>
      </c>
      <c r="J14" s="8">
        <f>IF(I14&gt;=80,"A",IF(I14&gt;=70,"B",IF(I14&gt;=60,"C",IF(I14&gt;=50,"D",IF(I14&gt;=40,"E","F")))))</f>
        <v/>
      </c>
      <c r="K14" s="8">
        <f>IF(J14="A","Excellent",IF(J14="B","Very Good",IF(J14="C","Good",IF(J14="D","Pass",IF(J14="E","Weak","Fail")))))</f>
        <v/>
      </c>
    </row>
    <row r="15">
      <c r="A15" s="6" t="inlineStr">
        <is>
          <t>ST014</t>
        </is>
      </c>
      <c r="B15" s="6" t="inlineStr">
        <is>
          <t>Patricia Nyarko</t>
        </is>
      </c>
      <c r="C15" s="6" t="n">
        <v>82</v>
      </c>
      <c r="D15" s="6" t="n">
        <v>78</v>
      </c>
      <c r="E15" s="6" t="n">
        <v>80</v>
      </c>
      <c r="F15" s="6" t="n">
        <v>85</v>
      </c>
      <c r="G15" s="6" t="n">
        <v>79</v>
      </c>
      <c r="H15" s="6">
        <f>SUM(C15:G15)</f>
        <v/>
      </c>
      <c r="I15" s="11">
        <f>ROUND(AVERAGE(C15:G15),2)</f>
        <v/>
      </c>
      <c r="J15" s="6">
        <f>IF(I15&gt;=80,"A",IF(I15&gt;=70,"B",IF(I15&gt;=60,"C",IF(I15&gt;=50,"D",IF(I15&gt;=40,"E","F")))))</f>
        <v/>
      </c>
      <c r="K15" s="6">
        <f>IF(J15="A","Excellent",IF(J15="B","Very Good",IF(J15="C","Good",IF(J15="D","Pass",IF(J15="E","Weak","Fail")))))</f>
        <v/>
      </c>
    </row>
    <row r="16">
      <c r="A16" s="8" t="inlineStr">
        <is>
          <t>ST015</t>
        </is>
      </c>
      <c r="B16" s="8" t="inlineStr">
        <is>
          <t>Elvis Kusi</t>
        </is>
      </c>
      <c r="C16" s="8" t="n">
        <v>55</v>
      </c>
      <c r="D16" s="8" t="n">
        <v>50</v>
      </c>
      <c r="E16" s="8" t="n">
        <v>48</v>
      </c>
      <c r="F16" s="8" t="n">
        <v>60</v>
      </c>
      <c r="G16" s="8" t="n">
        <v>52</v>
      </c>
      <c r="H16" s="8">
        <f>SUM(C16:G16)</f>
        <v/>
      </c>
      <c r="I16" s="9">
        <f>ROUND(AVERAGE(C16:G16),2)</f>
        <v/>
      </c>
      <c r="J16" s="8">
        <f>IF(I16&gt;=80,"A",IF(I16&gt;=70,"B",IF(I16&gt;=60,"C",IF(I16&gt;=50,"D",IF(I16&gt;=40,"E","F")))))</f>
        <v/>
      </c>
      <c r="K16" s="8">
        <f>IF(J16="A","Excellent",IF(J16="B","Very Good",IF(J16="C","Good",IF(J16="D","Pass",IF(J16="E","Weak","Fail")))))</f>
        <v/>
      </c>
    </row>
    <row r="17">
      <c r="A17" s="6" t="inlineStr">
        <is>
          <t>ST016</t>
        </is>
      </c>
      <c r="B17" s="6" t="inlineStr">
        <is>
          <t>Ruth Opoku</t>
        </is>
      </c>
      <c r="C17" s="6" t="n">
        <v>88</v>
      </c>
      <c r="D17" s="6" t="n">
        <v>92</v>
      </c>
      <c r="E17" s="6" t="n">
        <v>85</v>
      </c>
      <c r="F17" s="6" t="n">
        <v>90</v>
      </c>
      <c r="G17" s="6" t="n">
        <v>86</v>
      </c>
      <c r="H17" s="6">
        <f>SUM(C17:G17)</f>
        <v/>
      </c>
      <c r="I17" s="11">
        <f>ROUND(AVERAGE(C17:G17),2)</f>
        <v/>
      </c>
      <c r="J17" s="6">
        <f>IF(I17&gt;=80,"A",IF(I17&gt;=70,"B",IF(I17&gt;=60,"C",IF(I17&gt;=50,"D",IF(I17&gt;=40,"E","F")))))</f>
        <v/>
      </c>
      <c r="K17" s="6">
        <f>IF(J17="A","Excellent",IF(J17="B","Very Good",IF(J17="C","Good",IF(J17="D","Pass",IF(J17="E","Weak","Fail")))))</f>
        <v/>
      </c>
    </row>
    <row r="18">
      <c r="A18" s="8" t="inlineStr">
        <is>
          <t>ST017</t>
        </is>
      </c>
      <c r="B18" s="8" t="inlineStr">
        <is>
          <t>Emmanuel Tetteh</t>
        </is>
      </c>
      <c r="C18" s="8" t="n">
        <v>70</v>
      </c>
      <c r="D18" s="8" t="n">
        <v>65</v>
      </c>
      <c r="E18" s="8" t="n">
        <v>72</v>
      </c>
      <c r="F18" s="8" t="n">
        <v>68</v>
      </c>
      <c r="G18" s="8" t="n">
        <v>71</v>
      </c>
      <c r="H18" s="8">
        <f>SUM(C18:G18)</f>
        <v/>
      </c>
      <c r="I18" s="9">
        <f>ROUND(AVERAGE(C18:G18),2)</f>
        <v/>
      </c>
      <c r="J18" s="8">
        <f>IF(I18&gt;=80,"A",IF(I18&gt;=70,"B",IF(I18&gt;=60,"C",IF(I18&gt;=50,"D",IF(I18&gt;=40,"E","F")))))</f>
        <v/>
      </c>
      <c r="K18" s="8">
        <f>IF(J18="A","Excellent",IF(J18="B","Very Good",IF(J18="C","Good",IF(J18="D","Pass",IF(J18="E","Weak","Fail")))))</f>
        <v/>
      </c>
    </row>
    <row r="19">
      <c r="A19" s="6" t="inlineStr">
        <is>
          <t>ST018</t>
        </is>
      </c>
      <c r="B19" s="6" t="inlineStr">
        <is>
          <t>Faith Adjei</t>
        </is>
      </c>
      <c r="C19" s="6" t="n">
        <v>93</v>
      </c>
      <c r="D19" s="6" t="n">
        <v>88</v>
      </c>
      <c r="E19" s="6" t="n">
        <v>90</v>
      </c>
      <c r="F19" s="6" t="n">
        <v>95</v>
      </c>
      <c r="G19" s="6" t="n">
        <v>91</v>
      </c>
      <c r="H19" s="6">
        <f>SUM(C19:G19)</f>
        <v/>
      </c>
      <c r="I19" s="11">
        <f>ROUND(AVERAGE(C19:G19),2)</f>
        <v/>
      </c>
      <c r="J19" s="6">
        <f>IF(I19&gt;=80,"A",IF(I19&gt;=70,"B",IF(I19&gt;=60,"C",IF(I19&gt;=50,"D",IF(I19&gt;=40,"E","F")))))</f>
        <v/>
      </c>
      <c r="K19" s="6">
        <f>IF(J19="A","Excellent",IF(J19="B","Very Good",IF(J19="C","Good",IF(J19="D","Pass",IF(J19="E","Weak","Fail")))))</f>
        <v/>
      </c>
    </row>
    <row r="20">
      <c r="A20" s="8" t="inlineStr">
        <is>
          <t>ST019</t>
        </is>
      </c>
      <c r="B20" s="8" t="inlineStr">
        <is>
          <t>Benjamin Arthur</t>
        </is>
      </c>
      <c r="C20" s="8" t="n">
        <v>78</v>
      </c>
      <c r="D20" s="8" t="n">
        <v>75</v>
      </c>
      <c r="E20" s="8" t="n">
        <v>70</v>
      </c>
      <c r="F20" s="8" t="n">
        <v>72</v>
      </c>
      <c r="G20" s="8" t="n">
        <v>76</v>
      </c>
      <c r="H20" s="8">
        <f>SUM(C20:G20)</f>
        <v/>
      </c>
      <c r="I20" s="9">
        <f>ROUND(AVERAGE(C20:G20),2)</f>
        <v/>
      </c>
      <c r="J20" s="8">
        <f>IF(I20&gt;=80,"A",IF(I20&gt;=70,"B",IF(I20&gt;=60,"C",IF(I20&gt;=50,"D",IF(I20&gt;=40,"E","F")))))</f>
        <v/>
      </c>
      <c r="K20" s="8">
        <f>IF(J20="A","Excellent",IF(J20="B","Very Good",IF(J20="C","Good",IF(J20="D","Pass",IF(J20="E","Weak","Fail")))))</f>
        <v/>
      </c>
    </row>
    <row r="21">
      <c r="A21" s="6" t="inlineStr">
        <is>
          <t>ST020</t>
        </is>
      </c>
      <c r="B21" s="6" t="inlineStr">
        <is>
          <t>Deborah Quaye</t>
        </is>
      </c>
      <c r="C21" s="6" t="n">
        <v>86</v>
      </c>
      <c r="D21" s="6" t="n">
        <v>80</v>
      </c>
      <c r="E21" s="6" t="n">
        <v>82</v>
      </c>
      <c r="F21" s="6" t="n">
        <v>88</v>
      </c>
      <c r="G21" s="6" t="n">
        <v>84</v>
      </c>
      <c r="H21" s="6">
        <f>SUM(C21:G21)</f>
        <v/>
      </c>
      <c r="I21" s="11">
        <f>ROUND(AVERAGE(C21:G21),2)</f>
        <v/>
      </c>
      <c r="J21" s="6">
        <f>IF(I21&gt;=80,"A",IF(I21&gt;=70,"B",IF(I21&gt;=60,"C",IF(I21&gt;=50,"D",IF(I21&gt;=40,"E","F")))))</f>
        <v/>
      </c>
      <c r="K21" s="6">
        <f>IF(J21="A","Excellent",IF(J21="B","Very Good",IF(J21="C","Good",IF(J21="D","Pass",IF(J21="E","Weak","Fail")))))</f>
        <v/>
      </c>
    </row>
    <row r="22">
      <c r="A22" s="8" t="inlineStr">
        <is>
          <t>ST021</t>
        </is>
      </c>
      <c r="B22" s="8" t="inlineStr">
        <is>
          <t>Prince Amankwah</t>
        </is>
      </c>
      <c r="C22" s="8" t="n">
        <v>65</v>
      </c>
      <c r="D22" s="8" t="n">
        <v>60</v>
      </c>
      <c r="E22" s="8" t="n">
        <v>68</v>
      </c>
      <c r="F22" s="8" t="n">
        <v>62</v>
      </c>
      <c r="G22" s="8" t="n">
        <v>64</v>
      </c>
      <c r="H22" s="8">
        <f>SUM(C22:G22)</f>
        <v/>
      </c>
      <c r="I22" s="9">
        <f>ROUND(AVERAGE(C22:G22),2)</f>
        <v/>
      </c>
      <c r="J22" s="8">
        <f>IF(I22&gt;=80,"A",IF(I22&gt;=70,"B",IF(I22&gt;=60,"C",IF(I22&gt;=50,"D",IF(I22&gt;=40,"E","F")))))</f>
        <v/>
      </c>
      <c r="K22" s="8">
        <f>IF(J22="A","Excellent",IF(J22="B","Very Good",IF(J22="C","Good",IF(J22="D","Pass",IF(J22="E","Weak","Fail")))))</f>
        <v/>
      </c>
    </row>
    <row r="23">
      <c r="A23" s="6" t="inlineStr">
        <is>
          <t>ST022</t>
        </is>
      </c>
      <c r="B23" s="6" t="inlineStr">
        <is>
          <t>Esther Ansah</t>
        </is>
      </c>
      <c r="C23" s="6" t="n">
        <v>91</v>
      </c>
      <c r="D23" s="6" t="n">
        <v>85</v>
      </c>
      <c r="E23" s="6" t="n">
        <v>88</v>
      </c>
      <c r="F23" s="6" t="n">
        <v>90</v>
      </c>
      <c r="G23" s="6" t="n">
        <v>89</v>
      </c>
      <c r="H23" s="6">
        <f>SUM(C23:G23)</f>
        <v/>
      </c>
      <c r="I23" s="11">
        <f>ROUND(AVERAGE(C23:G23),2)</f>
        <v/>
      </c>
      <c r="J23" s="6">
        <f>IF(I23&gt;=80,"A",IF(I23&gt;=70,"B",IF(I23&gt;=60,"C",IF(I23&gt;=50,"D",IF(I23&gt;=40,"E","F")))))</f>
        <v/>
      </c>
      <c r="K23" s="6">
        <f>IF(J23="A","Excellent",IF(J23="B","Very Good",IF(J23="C","Good",IF(J23="D","Pass",IF(J23="E","Weak","Fail")))))</f>
        <v/>
      </c>
    </row>
    <row r="24">
      <c r="A24" s="8" t="inlineStr">
        <is>
          <t>ST023</t>
        </is>
      </c>
      <c r="B24" s="8" t="inlineStr">
        <is>
          <t>Kelvin Aidoo</t>
        </is>
      </c>
      <c r="C24" s="8" t="n">
        <v>72</v>
      </c>
      <c r="D24" s="8" t="n">
        <v>68</v>
      </c>
      <c r="E24" s="8" t="n">
        <v>65</v>
      </c>
      <c r="F24" s="8" t="n">
        <v>70</v>
      </c>
      <c r="G24" s="8" t="n">
        <v>71</v>
      </c>
      <c r="H24" s="8">
        <f>SUM(C24:G24)</f>
        <v/>
      </c>
      <c r="I24" s="9">
        <f>ROUND(AVERAGE(C24:G24),2)</f>
        <v/>
      </c>
      <c r="J24" s="8">
        <f>IF(I24&gt;=80,"A",IF(I24&gt;=70,"B",IF(I24&gt;=60,"C",IF(I24&gt;=50,"D",IF(I24&gt;=40,"E","F")))))</f>
        <v/>
      </c>
      <c r="K24" s="8">
        <f>IF(J24="A","Excellent",IF(J24="B","Very Good",IF(J24="C","Good",IF(J24="D","Pass",IF(J24="E","Weak","Fail")))))</f>
        <v/>
      </c>
    </row>
    <row r="25">
      <c r="A25" s="6" t="inlineStr">
        <is>
          <t>ST024</t>
        </is>
      </c>
      <c r="B25" s="6" t="inlineStr">
        <is>
          <t>Mavis Boakye</t>
        </is>
      </c>
      <c r="C25" s="6" t="n">
        <v>84</v>
      </c>
      <c r="D25" s="6" t="n">
        <v>88</v>
      </c>
      <c r="E25" s="6" t="n">
        <v>86</v>
      </c>
      <c r="F25" s="6" t="n">
        <v>82</v>
      </c>
      <c r="G25" s="6" t="n">
        <v>85</v>
      </c>
      <c r="H25" s="6">
        <f>SUM(C25:G25)</f>
        <v/>
      </c>
      <c r="I25" s="11">
        <f>ROUND(AVERAGE(C25:G25),2)</f>
        <v/>
      </c>
      <c r="J25" s="6">
        <f>IF(I25&gt;=80,"A",IF(I25&gt;=70,"B",IF(I25&gt;=60,"C",IF(I25&gt;=50,"D",IF(I25&gt;=40,"E","F")))))</f>
        <v/>
      </c>
      <c r="K25" s="6">
        <f>IF(J25="A","Excellent",IF(J25="B","Very Good",IF(J25="C","Good",IF(J25="D","Pass",IF(J25="E","Weak","Fail")))))</f>
        <v/>
      </c>
    </row>
  </sheetData>
  <conditionalFormatting sqref="I2:I25">
    <cfRule type="colorScale" priority="1">
      <colorScale>
        <cfvo type="num" val="0"/>
        <cfvo type="num" val="50"/>
        <cfvo type="num" val="100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>
      <c r="A1" s="12" t="inlineStr">
        <is>
          <t>MALE STUDENT RECORDS</t>
        </is>
      </c>
    </row>
    <row r="3">
      <c r="A3" s="4" t="inlineStr">
        <is>
          <t>Name</t>
        </is>
      </c>
      <c r="B3" s="4" t="inlineStr">
        <is>
          <t>Age</t>
        </is>
      </c>
      <c r="C3" s="4" t="inlineStr">
        <is>
          <t>English</t>
        </is>
      </c>
      <c r="D3" s="4" t="inlineStr">
        <is>
          <t>Mathematics</t>
        </is>
      </c>
      <c r="E3" s="4" t="inlineStr">
        <is>
          <t>Science</t>
        </is>
      </c>
      <c r="F3" s="4" t="inlineStr">
        <is>
          <t>ICT</t>
        </is>
      </c>
      <c r="G3" s="4" t="inlineStr">
        <is>
          <t>Social Studies</t>
        </is>
      </c>
      <c r="H3" s="4" t="inlineStr">
        <is>
          <t>Total</t>
        </is>
      </c>
      <c r="I3" s="4" t="inlineStr">
        <is>
          <t>Average</t>
        </is>
      </c>
      <c r="J3" s="4" t="inlineStr">
        <is>
          <t>Grade</t>
        </is>
      </c>
    </row>
    <row r="4">
      <c r="A4" s="8" t="inlineStr">
        <is>
          <t>Daniel Mensah</t>
        </is>
      </c>
      <c r="B4" s="8" t="n"/>
      <c r="C4" s="8" t="n">
        <v>85</v>
      </c>
      <c r="D4" s="8" t="n">
        <v>78</v>
      </c>
      <c r="E4" s="8" t="n">
        <v>82</v>
      </c>
      <c r="F4" s="8" t="n">
        <v>90</v>
      </c>
      <c r="G4" s="8" t="n">
        <v>79</v>
      </c>
      <c r="H4" s="8">
        <f>SUM(C4:G4)</f>
        <v/>
      </c>
      <c r="I4" s="9">
        <f>ROUND(AVERAGE(C4:G4),2)</f>
        <v/>
      </c>
      <c r="J4" s="8">
        <f>IF(I4&gt;=80,"A",IF(I4&gt;=70,"B",IF(I4&gt;=60,"C",IF(I4&gt;=50,"D","F"))))</f>
        <v/>
      </c>
    </row>
    <row r="5">
      <c r="A5" s="6" t="inlineStr">
        <is>
          <t>Samuel Boateng</t>
        </is>
      </c>
      <c r="B5" s="6" t="n"/>
      <c r="C5" s="6" t="n">
        <v>70</v>
      </c>
      <c r="D5" s="6" t="n">
        <v>65</v>
      </c>
      <c r="E5" s="6" t="n">
        <v>72</v>
      </c>
      <c r="F5" s="6" t="n">
        <v>68</v>
      </c>
      <c r="G5" s="6" t="n">
        <v>74</v>
      </c>
      <c r="H5" s="6">
        <f>SUM(C5:G5)</f>
        <v/>
      </c>
      <c r="I5" s="11">
        <f>ROUND(AVERAGE(C5:G5),2)</f>
        <v/>
      </c>
      <c r="J5" s="6">
        <f>IF(I5&gt;=80,"A",IF(I5&gt;=70,"B",IF(I5&gt;=60,"C",IF(I5&gt;=50,"D","F"))))</f>
        <v/>
      </c>
    </row>
    <row r="6">
      <c r="A6" s="8" t="inlineStr">
        <is>
          <t>Kwame Ofori</t>
        </is>
      </c>
      <c r="B6" s="8" t="n"/>
      <c r="C6" s="8" t="n">
        <v>65</v>
      </c>
      <c r="D6" s="8" t="n">
        <v>60</v>
      </c>
      <c r="E6" s="8" t="n">
        <v>58</v>
      </c>
      <c r="F6" s="8" t="n">
        <v>70</v>
      </c>
      <c r="G6" s="8" t="n">
        <v>62</v>
      </c>
      <c r="H6" s="8">
        <f>SUM(C6:G6)</f>
        <v/>
      </c>
      <c r="I6" s="9">
        <f>ROUND(AVERAGE(C6:G6),2)</f>
        <v/>
      </c>
      <c r="J6" s="8">
        <f>IF(I6&gt;=80,"A",IF(I6&gt;=70,"B",IF(I6&gt;=60,"C",IF(I6&gt;=50,"D","F"))))</f>
        <v/>
      </c>
    </row>
    <row r="7">
      <c r="A7" s="6" t="inlineStr">
        <is>
          <t>Isaac Addo</t>
        </is>
      </c>
      <c r="B7" s="6" t="n"/>
      <c r="C7" s="6" t="n">
        <v>72</v>
      </c>
      <c r="D7" s="6" t="n">
        <v>68</v>
      </c>
      <c r="E7" s="6" t="n">
        <v>75</v>
      </c>
      <c r="F7" s="6" t="n">
        <v>73</v>
      </c>
      <c r="G7" s="6" t="n">
        <v>71</v>
      </c>
      <c r="H7" s="6">
        <f>SUM(C7:G7)</f>
        <v/>
      </c>
      <c r="I7" s="11">
        <f>ROUND(AVERAGE(C7:G7),2)</f>
        <v/>
      </c>
      <c r="J7" s="6">
        <f>IF(I7&gt;=80,"A",IF(I7&gt;=70,"B",IF(I7&gt;=60,"C",IF(I7&gt;=50,"D","F"))))</f>
        <v/>
      </c>
    </row>
    <row r="8">
      <c r="A8" s="8" t="inlineStr">
        <is>
          <t>Kojo Yeboah</t>
        </is>
      </c>
      <c r="B8" s="8" t="n"/>
      <c r="C8" s="8" t="n">
        <v>60</v>
      </c>
      <c r="D8" s="8" t="n">
        <v>55</v>
      </c>
      <c r="E8" s="8" t="n">
        <v>62</v>
      </c>
      <c r="F8" s="8" t="n">
        <v>58</v>
      </c>
      <c r="G8" s="8" t="n">
        <v>65</v>
      </c>
      <c r="H8" s="8">
        <f>SUM(C8:G8)</f>
        <v/>
      </c>
      <c r="I8" s="9">
        <f>ROUND(AVERAGE(C8:G8),2)</f>
        <v/>
      </c>
      <c r="J8" s="8">
        <f>IF(I8&gt;=80,"A",IF(I8&gt;=70,"B",IF(I8&gt;=60,"C",IF(I8&gt;=50,"D","F"))))</f>
        <v/>
      </c>
    </row>
    <row r="9">
      <c r="A9" s="6" t="inlineStr">
        <is>
          <t>Nathan Agyeman</t>
        </is>
      </c>
      <c r="B9" s="6" t="n"/>
      <c r="C9" s="6" t="n">
        <v>68</v>
      </c>
      <c r="D9" s="6" t="n">
        <v>72</v>
      </c>
      <c r="E9" s="6" t="n">
        <v>70</v>
      </c>
      <c r="F9" s="6" t="n">
        <v>65</v>
      </c>
      <c r="G9" s="6" t="n">
        <v>69</v>
      </c>
      <c r="H9" s="6">
        <f>SUM(C9:G9)</f>
        <v/>
      </c>
      <c r="I9" s="11">
        <f>ROUND(AVERAGE(C9:G9),2)</f>
        <v/>
      </c>
      <c r="J9" s="6">
        <f>IF(I9&gt;=80,"A",IF(I9&gt;=70,"B",IF(I9&gt;=60,"C",IF(I9&gt;=50,"D","F"))))</f>
        <v/>
      </c>
    </row>
    <row r="10">
      <c r="A10" s="8" t="inlineStr">
        <is>
          <t>Joseph Bonsu</t>
        </is>
      </c>
      <c r="B10" s="8" t="n"/>
      <c r="C10" s="8" t="n">
        <v>75</v>
      </c>
      <c r="D10" s="8" t="n">
        <v>70</v>
      </c>
      <c r="E10" s="8" t="n">
        <v>68</v>
      </c>
      <c r="F10" s="8" t="n">
        <v>72</v>
      </c>
      <c r="G10" s="8" t="n">
        <v>73</v>
      </c>
      <c r="H10" s="8">
        <f>SUM(C10:G10)</f>
        <v/>
      </c>
      <c r="I10" s="9">
        <f>ROUND(AVERAGE(C10:G10),2)</f>
        <v/>
      </c>
      <c r="J10" s="8">
        <f>IF(I10&gt;=80,"A",IF(I10&gt;=70,"B",IF(I10&gt;=60,"C",IF(I10&gt;=50,"D","F"))))</f>
        <v/>
      </c>
    </row>
    <row r="11">
      <c r="A11" s="6" t="inlineStr">
        <is>
          <t>Elvis Kusi</t>
        </is>
      </c>
      <c r="B11" s="6" t="n"/>
      <c r="C11" s="6" t="n">
        <v>55</v>
      </c>
      <c r="D11" s="6" t="n">
        <v>50</v>
      </c>
      <c r="E11" s="6" t="n">
        <v>48</v>
      </c>
      <c r="F11" s="6" t="n">
        <v>60</v>
      </c>
      <c r="G11" s="6" t="n">
        <v>52</v>
      </c>
      <c r="H11" s="6">
        <f>SUM(C11:G11)</f>
        <v/>
      </c>
      <c r="I11" s="11">
        <f>ROUND(AVERAGE(C11:G11),2)</f>
        <v/>
      </c>
      <c r="J11" s="6">
        <f>IF(I11&gt;=80,"A",IF(I11&gt;=70,"B",IF(I11&gt;=60,"C",IF(I11&gt;=50,"D","F"))))</f>
        <v/>
      </c>
    </row>
    <row r="12">
      <c r="A12" s="8" t="inlineStr">
        <is>
          <t>Emmanuel Tetteh</t>
        </is>
      </c>
      <c r="B12" s="8" t="n"/>
      <c r="C12" s="8" t="n">
        <v>70</v>
      </c>
      <c r="D12" s="8" t="n">
        <v>65</v>
      </c>
      <c r="E12" s="8" t="n">
        <v>72</v>
      </c>
      <c r="F12" s="8" t="n">
        <v>68</v>
      </c>
      <c r="G12" s="8" t="n">
        <v>71</v>
      </c>
      <c r="H12" s="8">
        <f>SUM(C12:G12)</f>
        <v/>
      </c>
      <c r="I12" s="9">
        <f>ROUND(AVERAGE(C12:G12),2)</f>
        <v/>
      </c>
      <c r="J12" s="8">
        <f>IF(I12&gt;=80,"A",IF(I12&gt;=70,"B",IF(I12&gt;=60,"C",IF(I12&gt;=50,"D","F"))))</f>
        <v/>
      </c>
    </row>
    <row r="13">
      <c r="A13" s="6" t="inlineStr">
        <is>
          <t>Benjamin Arthur</t>
        </is>
      </c>
      <c r="B13" s="6" t="n"/>
      <c r="C13" s="6" t="n">
        <v>78</v>
      </c>
      <c r="D13" s="6" t="n">
        <v>75</v>
      </c>
      <c r="E13" s="6" t="n">
        <v>70</v>
      </c>
      <c r="F13" s="6" t="n">
        <v>72</v>
      </c>
      <c r="G13" s="6" t="n">
        <v>76</v>
      </c>
      <c r="H13" s="6">
        <f>SUM(C13:G13)</f>
        <v/>
      </c>
      <c r="I13" s="11">
        <f>ROUND(AVERAGE(C13:G13),2)</f>
        <v/>
      </c>
      <c r="J13" s="6">
        <f>IF(I13&gt;=80,"A",IF(I13&gt;=70,"B",IF(I13&gt;=60,"C",IF(I13&gt;=50,"D","F"))))</f>
        <v/>
      </c>
    </row>
    <row r="14">
      <c r="A14" s="8" t="inlineStr">
        <is>
          <t>Prince Amankwah</t>
        </is>
      </c>
      <c r="B14" s="8" t="n"/>
      <c r="C14" s="8" t="n">
        <v>65</v>
      </c>
      <c r="D14" s="8" t="n">
        <v>60</v>
      </c>
      <c r="E14" s="8" t="n">
        <v>68</v>
      </c>
      <c r="F14" s="8" t="n">
        <v>62</v>
      </c>
      <c r="G14" s="8" t="n">
        <v>64</v>
      </c>
      <c r="H14" s="8">
        <f>SUM(C14:G14)</f>
        <v/>
      </c>
      <c r="I14" s="9">
        <f>ROUND(AVERAGE(C14:G14),2)</f>
        <v/>
      </c>
      <c r="J14" s="8">
        <f>IF(I14&gt;=80,"A",IF(I14&gt;=70,"B",IF(I14&gt;=60,"C",IF(I14&gt;=50,"D","F"))))</f>
        <v/>
      </c>
    </row>
    <row r="15">
      <c r="A15" s="6" t="inlineStr">
        <is>
          <t>Kelvin Aidoo</t>
        </is>
      </c>
      <c r="B15" s="6" t="n"/>
      <c r="C15" s="6" t="n">
        <v>72</v>
      </c>
      <c r="D15" s="6" t="n">
        <v>68</v>
      </c>
      <c r="E15" s="6" t="n">
        <v>65</v>
      </c>
      <c r="F15" s="6" t="n">
        <v>70</v>
      </c>
      <c r="G15" s="6" t="n">
        <v>71</v>
      </c>
      <c r="H15" s="6">
        <f>SUM(C15:G15)</f>
        <v/>
      </c>
      <c r="I15" s="11">
        <f>ROUND(AVERAGE(C15:G15),2)</f>
        <v/>
      </c>
      <c r="J15" s="6">
        <f>IF(I15&gt;=80,"A",IF(I15&gt;=70,"B",IF(I15&gt;=60,"C",IF(I15&gt;=50,"D","F"))))</f>
        <v/>
      </c>
    </row>
    <row r="18">
      <c r="A18" s="13" t="inlineStr">
        <is>
          <t>Subject Avg</t>
        </is>
      </c>
      <c r="C18">
        <f>ROUND(AVERAGE(C4:C15),2)</f>
        <v/>
      </c>
      <c r="D18">
        <f>ROUND(AVERAGE(D4:D15),2)</f>
        <v/>
      </c>
      <c r="E18">
        <f>ROUND(AVERAGE(E4:E15),2)</f>
        <v/>
      </c>
      <c r="F18">
        <f>ROUND(AVERAGE(F4:F15),2)</f>
        <v/>
      </c>
      <c r="G18">
        <f>ROUND(AVERAGE(G4:G15),2)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>
      <c r="A1" s="12" t="inlineStr">
        <is>
          <t>FEMALE STUDENT RECORDS</t>
        </is>
      </c>
    </row>
    <row r="3">
      <c r="A3" s="4" t="inlineStr">
        <is>
          <t>Name</t>
        </is>
      </c>
      <c r="B3" s="4" t="inlineStr">
        <is>
          <t>Age</t>
        </is>
      </c>
      <c r="C3" s="4" t="inlineStr">
        <is>
          <t>English</t>
        </is>
      </c>
      <c r="D3" s="4" t="inlineStr">
        <is>
          <t>Mathematics</t>
        </is>
      </c>
      <c r="E3" s="4" t="inlineStr">
        <is>
          <t>Science</t>
        </is>
      </c>
      <c r="F3" s="4" t="inlineStr">
        <is>
          <t>ICT</t>
        </is>
      </c>
      <c r="G3" s="4" t="inlineStr">
        <is>
          <t>Social Studies</t>
        </is>
      </c>
      <c r="H3" s="4" t="inlineStr">
        <is>
          <t>Total</t>
        </is>
      </c>
      <c r="I3" s="4" t="inlineStr">
        <is>
          <t>Average</t>
        </is>
      </c>
      <c r="J3" s="4" t="inlineStr">
        <is>
          <t>Grade</t>
        </is>
      </c>
    </row>
    <row r="4">
      <c r="A4" s="8" t="inlineStr">
        <is>
          <t>Ama Owusu</t>
        </is>
      </c>
      <c r="B4" s="8" t="n"/>
      <c r="C4" s="8" t="n">
        <v>92</v>
      </c>
      <c r="D4" s="8" t="n">
        <v>88</v>
      </c>
      <c r="E4" s="8" t="n">
        <v>75</v>
      </c>
      <c r="F4" s="8" t="n">
        <v>85</v>
      </c>
      <c r="G4" s="8" t="n">
        <v>90</v>
      </c>
      <c r="H4" s="8">
        <f>SUM(C4:G4)</f>
        <v/>
      </c>
      <c r="I4" s="9">
        <f>ROUND(AVERAGE(C4:G4),2)</f>
        <v/>
      </c>
      <c r="J4" s="8">
        <f>IF(I4&gt;=80,"A",IF(I4&gt;=70,"B",IF(I4&gt;=60,"C",IF(I4&gt;=50,"D","F"))))</f>
        <v/>
      </c>
    </row>
    <row r="5">
      <c r="A5" s="6" t="inlineStr">
        <is>
          <t>Grace Asante</t>
        </is>
      </c>
      <c r="B5" s="6" t="n"/>
      <c r="C5" s="6" t="n">
        <v>88</v>
      </c>
      <c r="D5" s="6" t="n">
        <v>95</v>
      </c>
      <c r="E5" s="6" t="n">
        <v>91</v>
      </c>
      <c r="F5" s="6" t="n">
        <v>87</v>
      </c>
      <c r="G5" s="6" t="n">
        <v>89</v>
      </c>
      <c r="H5" s="6">
        <f>SUM(C5:G5)</f>
        <v/>
      </c>
      <c r="I5" s="11">
        <f>ROUND(AVERAGE(C5:G5),2)</f>
        <v/>
      </c>
      <c r="J5" s="6">
        <f>IF(I5&gt;=80,"A",IF(I5&gt;=70,"B",IF(I5&gt;=60,"C",IF(I5&gt;=50,"D","F"))))</f>
        <v/>
      </c>
    </row>
    <row r="6">
      <c r="A6" s="8" t="inlineStr">
        <is>
          <t>Abena Darko</t>
        </is>
      </c>
      <c r="B6" s="8" t="n"/>
      <c r="C6" s="8" t="n">
        <v>78</v>
      </c>
      <c r="D6" s="8" t="n">
        <v>82</v>
      </c>
      <c r="E6" s="8" t="n">
        <v>80</v>
      </c>
      <c r="F6" s="8" t="n">
        <v>85</v>
      </c>
      <c r="G6" s="8" t="n">
        <v>76</v>
      </c>
      <c r="H6" s="8">
        <f>SUM(C6:G6)</f>
        <v/>
      </c>
      <c r="I6" s="9">
        <f>ROUND(AVERAGE(C6:G6),2)</f>
        <v/>
      </c>
      <c r="J6" s="8">
        <f>IF(I6&gt;=80,"A",IF(I6&gt;=70,"B",IF(I6&gt;=60,"C",IF(I6&gt;=50,"D","F"))))</f>
        <v/>
      </c>
    </row>
    <row r="7">
      <c r="A7" s="6" t="inlineStr">
        <is>
          <t>Esi Appiah</t>
        </is>
      </c>
      <c r="B7" s="6" t="n"/>
      <c r="C7" s="6" t="n">
        <v>95</v>
      </c>
      <c r="D7" s="6" t="n">
        <v>90</v>
      </c>
      <c r="E7" s="6" t="n">
        <v>88</v>
      </c>
      <c r="F7" s="6" t="n">
        <v>92</v>
      </c>
      <c r="G7" s="6" t="n">
        <v>93</v>
      </c>
      <c r="H7" s="6">
        <f>SUM(C7:G7)</f>
        <v/>
      </c>
      <c r="I7" s="11">
        <f>ROUND(AVERAGE(C7:G7),2)</f>
        <v/>
      </c>
      <c r="J7" s="6">
        <f>IF(I7&gt;=80,"A",IF(I7&gt;=70,"B",IF(I7&gt;=60,"C",IF(I7&gt;=50,"D","F"))))</f>
        <v/>
      </c>
    </row>
    <row r="8">
      <c r="A8" s="8" t="inlineStr">
        <is>
          <t>Akosua Frimpong</t>
        </is>
      </c>
      <c r="B8" s="8" t="n"/>
      <c r="C8" s="8" t="n">
        <v>85</v>
      </c>
      <c r="D8" s="8" t="n">
        <v>80</v>
      </c>
      <c r="E8" s="8" t="n">
        <v>78</v>
      </c>
      <c r="F8" s="8" t="n">
        <v>82</v>
      </c>
      <c r="G8" s="8" t="n">
        <v>84</v>
      </c>
      <c r="H8" s="8">
        <f>SUM(C8:G8)</f>
        <v/>
      </c>
      <c r="I8" s="9">
        <f>ROUND(AVERAGE(C8:G8),2)</f>
        <v/>
      </c>
      <c r="J8" s="8">
        <f>IF(I8&gt;=80,"A",IF(I8&gt;=70,"B",IF(I8&gt;=60,"C",IF(I8&gt;=50,"D","F"))))</f>
        <v/>
      </c>
    </row>
    <row r="9">
      <c r="A9" s="6" t="inlineStr">
        <is>
          <t>Linda Antwi</t>
        </is>
      </c>
      <c r="B9" s="6" t="n"/>
      <c r="C9" s="6" t="n">
        <v>90</v>
      </c>
      <c r="D9" s="6" t="n">
        <v>85</v>
      </c>
      <c r="E9" s="6" t="n">
        <v>87</v>
      </c>
      <c r="F9" s="6" t="n">
        <v>88</v>
      </c>
      <c r="G9" s="6" t="n">
        <v>86</v>
      </c>
      <c r="H9" s="6">
        <f>SUM(C9:G9)</f>
        <v/>
      </c>
      <c r="I9" s="11">
        <f>ROUND(AVERAGE(C9:G9),2)</f>
        <v/>
      </c>
      <c r="J9" s="6">
        <f>IF(I9&gt;=80,"A",IF(I9&gt;=70,"B",IF(I9&gt;=60,"C",IF(I9&gt;=50,"D","F"))))</f>
        <v/>
      </c>
    </row>
    <row r="10">
      <c r="A10" s="8" t="inlineStr">
        <is>
          <t>Patricia Nyarko</t>
        </is>
      </c>
      <c r="B10" s="8" t="n"/>
      <c r="C10" s="8" t="n">
        <v>82</v>
      </c>
      <c r="D10" s="8" t="n">
        <v>78</v>
      </c>
      <c r="E10" s="8" t="n">
        <v>80</v>
      </c>
      <c r="F10" s="8" t="n">
        <v>85</v>
      </c>
      <c r="G10" s="8" t="n">
        <v>79</v>
      </c>
      <c r="H10" s="8">
        <f>SUM(C10:G10)</f>
        <v/>
      </c>
      <c r="I10" s="9">
        <f>ROUND(AVERAGE(C10:G10),2)</f>
        <v/>
      </c>
      <c r="J10" s="8">
        <f>IF(I10&gt;=80,"A",IF(I10&gt;=70,"B",IF(I10&gt;=60,"C",IF(I10&gt;=50,"D","F"))))</f>
        <v/>
      </c>
    </row>
    <row r="11">
      <c r="A11" s="6" t="inlineStr">
        <is>
          <t>Ruth Opoku</t>
        </is>
      </c>
      <c r="B11" s="6" t="n"/>
      <c r="C11" s="6" t="n">
        <v>88</v>
      </c>
      <c r="D11" s="6" t="n">
        <v>92</v>
      </c>
      <c r="E11" s="6" t="n">
        <v>85</v>
      </c>
      <c r="F11" s="6" t="n">
        <v>90</v>
      </c>
      <c r="G11" s="6" t="n">
        <v>86</v>
      </c>
      <c r="H11" s="6">
        <f>SUM(C11:G11)</f>
        <v/>
      </c>
      <c r="I11" s="11">
        <f>ROUND(AVERAGE(C11:G11),2)</f>
        <v/>
      </c>
      <c r="J11" s="6">
        <f>IF(I11&gt;=80,"A",IF(I11&gt;=70,"B",IF(I11&gt;=60,"C",IF(I11&gt;=50,"D","F"))))</f>
        <v/>
      </c>
    </row>
    <row r="12">
      <c r="A12" s="8" t="inlineStr">
        <is>
          <t>Faith Adjei</t>
        </is>
      </c>
      <c r="B12" s="8" t="n"/>
      <c r="C12" s="8" t="n">
        <v>93</v>
      </c>
      <c r="D12" s="8" t="n">
        <v>88</v>
      </c>
      <c r="E12" s="8" t="n">
        <v>90</v>
      </c>
      <c r="F12" s="8" t="n">
        <v>95</v>
      </c>
      <c r="G12" s="8" t="n">
        <v>91</v>
      </c>
      <c r="H12" s="8">
        <f>SUM(C12:G12)</f>
        <v/>
      </c>
      <c r="I12" s="9">
        <f>ROUND(AVERAGE(C12:G12),2)</f>
        <v/>
      </c>
      <c r="J12" s="8">
        <f>IF(I12&gt;=80,"A",IF(I12&gt;=70,"B",IF(I12&gt;=60,"C",IF(I12&gt;=50,"D","F"))))</f>
        <v/>
      </c>
    </row>
    <row r="13">
      <c r="A13" s="6" t="inlineStr">
        <is>
          <t>Deborah Quaye</t>
        </is>
      </c>
      <c r="B13" s="6" t="n"/>
      <c r="C13" s="6" t="n">
        <v>86</v>
      </c>
      <c r="D13" s="6" t="n">
        <v>80</v>
      </c>
      <c r="E13" s="6" t="n">
        <v>82</v>
      </c>
      <c r="F13" s="6" t="n">
        <v>88</v>
      </c>
      <c r="G13" s="6" t="n">
        <v>84</v>
      </c>
      <c r="H13" s="6">
        <f>SUM(C13:G13)</f>
        <v/>
      </c>
      <c r="I13" s="11">
        <f>ROUND(AVERAGE(C13:G13),2)</f>
        <v/>
      </c>
      <c r="J13" s="6">
        <f>IF(I13&gt;=80,"A",IF(I13&gt;=70,"B",IF(I13&gt;=60,"C",IF(I13&gt;=50,"D","F"))))</f>
        <v/>
      </c>
    </row>
    <row r="14">
      <c r="A14" s="8" t="inlineStr">
        <is>
          <t>Esther Ansah</t>
        </is>
      </c>
      <c r="B14" s="8" t="n"/>
      <c r="C14" s="8" t="n">
        <v>91</v>
      </c>
      <c r="D14" s="8" t="n">
        <v>85</v>
      </c>
      <c r="E14" s="8" t="n">
        <v>88</v>
      </c>
      <c r="F14" s="8" t="n">
        <v>90</v>
      </c>
      <c r="G14" s="8" t="n">
        <v>89</v>
      </c>
      <c r="H14" s="8">
        <f>SUM(C14:G14)</f>
        <v/>
      </c>
      <c r="I14" s="9">
        <f>ROUND(AVERAGE(C14:G14),2)</f>
        <v/>
      </c>
      <c r="J14" s="8">
        <f>IF(I14&gt;=80,"A",IF(I14&gt;=70,"B",IF(I14&gt;=60,"C",IF(I14&gt;=50,"D","F"))))</f>
        <v/>
      </c>
    </row>
    <row r="15">
      <c r="A15" s="6" t="inlineStr">
        <is>
          <t>Mavis Boakye</t>
        </is>
      </c>
      <c r="B15" s="6" t="n"/>
      <c r="C15" s="6" t="n">
        <v>84</v>
      </c>
      <c r="D15" s="6" t="n">
        <v>88</v>
      </c>
      <c r="E15" s="6" t="n">
        <v>86</v>
      </c>
      <c r="F15" s="6" t="n">
        <v>82</v>
      </c>
      <c r="G15" s="6" t="n">
        <v>85</v>
      </c>
      <c r="H15" s="6">
        <f>SUM(C15:G15)</f>
        <v/>
      </c>
      <c r="I15" s="11">
        <f>ROUND(AVERAGE(C15:G15),2)</f>
        <v/>
      </c>
      <c r="J15" s="6">
        <f>IF(I15&gt;=80,"A",IF(I15&gt;=70,"B",IF(I15&gt;=60,"C",IF(I15&gt;=50,"D","F"))))</f>
        <v/>
      </c>
    </row>
    <row r="18">
      <c r="A18" s="13" t="inlineStr">
        <is>
          <t>Subject Avg</t>
        </is>
      </c>
      <c r="C18">
        <f>ROUND(AVERAGE(C4:C15),2)</f>
        <v/>
      </c>
      <c r="D18">
        <f>ROUND(AVERAGE(D4:D15),2)</f>
        <v/>
      </c>
      <c r="E18">
        <f>ROUND(AVERAGE(E4:E15),2)</f>
        <v/>
      </c>
      <c r="F18">
        <f>ROUND(AVERAGE(F4:F15),2)</f>
        <v/>
      </c>
      <c r="G18">
        <f>ROUND(AVERAGE(G4:G15),2)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2" t="inlineStr">
        <is>
          <t>Subject-Wise Averages</t>
        </is>
      </c>
    </row>
    <row r="2">
      <c r="A2" s="4" t="inlineStr">
        <is>
          <t>Subject</t>
        </is>
      </c>
      <c r="B2" s="4" t="inlineStr">
        <is>
          <t>Average</t>
        </is>
      </c>
      <c r="C2" s="4" t="inlineStr">
        <is>
          <t>Highest</t>
        </is>
      </c>
      <c r="D2" s="4" t="inlineStr">
        <is>
          <t>Lowest</t>
        </is>
      </c>
      <c r="E2" s="4" t="inlineStr">
        <is>
          <t>Pass Rate</t>
        </is>
      </c>
    </row>
    <row r="3">
      <c r="A3" s="6" t="inlineStr">
        <is>
          <t>English</t>
        </is>
      </c>
      <c r="B3" s="6">
        <f>ROUND(AVERAGE(Grades!C2:C25),2)</f>
        <v/>
      </c>
      <c r="C3" s="6">
        <f>MAX(Grades!C2:C25)</f>
        <v/>
      </c>
      <c r="D3" s="6">
        <f>MIN(Grades!C2:C25)</f>
        <v/>
      </c>
      <c r="E3" s="14">
        <f>COUNTIF(Grades!C2:C25,"&gt;=50")/COUNTA(Grades!C2:C25)</f>
        <v/>
      </c>
    </row>
    <row r="4">
      <c r="A4" s="8" t="inlineStr">
        <is>
          <t>Mathematics</t>
        </is>
      </c>
      <c r="B4" s="8">
        <f>ROUND(AVERAGE(Grades!D2:D25),2)</f>
        <v/>
      </c>
      <c r="C4" s="8">
        <f>MAX(Grades!D2:D25)</f>
        <v/>
      </c>
      <c r="D4" s="8">
        <f>MIN(Grades!D2:D25)</f>
        <v/>
      </c>
      <c r="E4" s="15">
        <f>COUNTIF(Grades!D2:D25,"&gt;=50")/COUNTA(Grades!D2:D25)</f>
        <v/>
      </c>
    </row>
    <row r="5">
      <c r="A5" s="6" t="inlineStr">
        <is>
          <t>Science</t>
        </is>
      </c>
      <c r="B5" s="6">
        <f>ROUND(AVERAGE(Grades!E2:E25),2)</f>
        <v/>
      </c>
      <c r="C5" s="6">
        <f>MAX(Grades!E2:E25)</f>
        <v/>
      </c>
      <c r="D5" s="6">
        <f>MIN(Grades!E2:E25)</f>
        <v/>
      </c>
      <c r="E5" s="14">
        <f>COUNTIF(Grades!E2:E25,"&gt;=50")/COUNTA(Grades!E2:E25)</f>
        <v/>
      </c>
    </row>
    <row r="6">
      <c r="A6" s="8" t="inlineStr">
        <is>
          <t>ICT</t>
        </is>
      </c>
      <c r="B6" s="8">
        <f>ROUND(AVERAGE(Grades!F2:F25),2)</f>
        <v/>
      </c>
      <c r="C6" s="8">
        <f>MAX(Grades!F2:F25)</f>
        <v/>
      </c>
      <c r="D6" s="8">
        <f>MIN(Grades!F2:F25)</f>
        <v/>
      </c>
      <c r="E6" s="15">
        <f>COUNTIF(Grades!F2:F25,"&gt;=50")/COUNTA(Grades!F2:F25)</f>
        <v/>
      </c>
    </row>
    <row r="7">
      <c r="A7" s="6" t="inlineStr">
        <is>
          <t>Social Studies</t>
        </is>
      </c>
      <c r="B7" s="6">
        <f>ROUND(AVERAGE(Grades!G2:G25),2)</f>
        <v/>
      </c>
      <c r="C7" s="6">
        <f>MAX(Grades!G2:G25)</f>
        <v/>
      </c>
      <c r="D7" s="6">
        <f>MIN(Grades!G2:G25)</f>
        <v/>
      </c>
      <c r="E7" s="14">
        <f>COUNTIF(Grades!G2:G25,"&gt;=50")/COUNTA(Grades!G2:G25)</f>
        <v/>
      </c>
    </row>
    <row r="11">
      <c r="A11" s="12" t="inlineStr">
        <is>
          <t>Gender Comparison</t>
        </is>
      </c>
    </row>
    <row r="12">
      <c r="A12" s="4" t="inlineStr">
        <is>
          <t>Gender</t>
        </is>
      </c>
      <c r="B12" s="4" t="inlineStr">
        <is>
          <t>Count</t>
        </is>
      </c>
      <c r="C12" s="4" t="inlineStr">
        <is>
          <t>Average Score</t>
        </is>
      </c>
    </row>
    <row r="13">
      <c r="A13" s="6" t="inlineStr">
        <is>
          <t>Male</t>
        </is>
      </c>
      <c r="B13" s="6">
        <f>COUNTIF(Students!D2:D25,"Male")</f>
        <v/>
      </c>
      <c r="C13" s="6">
        <f>ROUND(AVERAGEIFS(Grades!I2:I25,Students!D2:D25,"Male"),2)</f>
        <v/>
      </c>
    </row>
    <row r="14">
      <c r="A14" s="6" t="inlineStr">
        <is>
          <t>Female</t>
        </is>
      </c>
      <c r="B14" s="6">
        <f>COUNTIF(Students!D2:D25,"Female")</f>
        <v/>
      </c>
      <c r="C14" s="6">
        <f>ROUND(AVERAGEIFS(Grades!I2:I25,Students!D2:D25,"Female"),2)</f>
        <v/>
      </c>
    </row>
    <row r="17">
      <c r="A17" s="12" t="inlineStr">
        <is>
          <t>Class Rankings</t>
        </is>
      </c>
    </row>
    <row r="18">
      <c r="A18" s="4" t="inlineStr">
        <is>
          <t>Rank</t>
        </is>
      </c>
      <c r="B18" s="4" t="inlineStr">
        <is>
          <t>Student ID</t>
        </is>
      </c>
      <c r="C18" s="4" t="inlineStr">
        <is>
          <t>Name</t>
        </is>
      </c>
      <c r="D18" s="4" t="inlineStr">
        <is>
          <t>Average</t>
        </is>
      </c>
      <c r="E18" s="4" t="inlineStr">
        <is>
          <t>Grade</t>
        </is>
      </c>
    </row>
    <row r="19">
      <c r="A19" s="6">
        <f>RANK(Grades!I2,Grades!I2:I25,0)</f>
        <v/>
      </c>
      <c r="B19" s="6">
        <f>Grades!A2</f>
        <v/>
      </c>
      <c r="C19" s="6">
        <f>Grades!B2</f>
        <v/>
      </c>
      <c r="D19" s="6">
        <f>Grades!I2</f>
        <v/>
      </c>
      <c r="E19" s="6">
        <f>Grades!J2</f>
        <v/>
      </c>
    </row>
    <row r="20">
      <c r="A20" s="8">
        <f>RANK(Grades!I3,Grades!I2:I25,0)</f>
        <v/>
      </c>
      <c r="B20" s="8">
        <f>Grades!A3</f>
        <v/>
      </c>
      <c r="C20" s="8">
        <f>Grades!B3</f>
        <v/>
      </c>
      <c r="D20" s="8">
        <f>Grades!I3</f>
        <v/>
      </c>
      <c r="E20" s="8">
        <f>Grades!J3</f>
        <v/>
      </c>
    </row>
    <row r="21">
      <c r="A21" s="6">
        <f>RANK(Grades!I4,Grades!I2:I25,0)</f>
        <v/>
      </c>
      <c r="B21" s="6">
        <f>Grades!A4</f>
        <v/>
      </c>
      <c r="C21" s="6">
        <f>Grades!B4</f>
        <v/>
      </c>
      <c r="D21" s="6">
        <f>Grades!I4</f>
        <v/>
      </c>
      <c r="E21" s="6">
        <f>Grades!J4</f>
        <v/>
      </c>
    </row>
    <row r="22">
      <c r="A22" s="8">
        <f>RANK(Grades!I5,Grades!I2:I25,0)</f>
        <v/>
      </c>
      <c r="B22" s="8">
        <f>Grades!A5</f>
        <v/>
      </c>
      <c r="C22" s="8">
        <f>Grades!B5</f>
        <v/>
      </c>
      <c r="D22" s="8">
        <f>Grades!I5</f>
        <v/>
      </c>
      <c r="E22" s="8">
        <f>Grades!J5</f>
        <v/>
      </c>
    </row>
    <row r="23">
      <c r="A23" s="6">
        <f>RANK(Grades!I6,Grades!I2:I25,0)</f>
        <v/>
      </c>
      <c r="B23" s="6">
        <f>Grades!A6</f>
        <v/>
      </c>
      <c r="C23" s="6">
        <f>Grades!B6</f>
        <v/>
      </c>
      <c r="D23" s="6">
        <f>Grades!I6</f>
        <v/>
      </c>
      <c r="E23" s="6">
        <f>Grades!J6</f>
        <v/>
      </c>
    </row>
    <row r="24">
      <c r="A24" s="8">
        <f>RANK(Grades!I7,Grades!I2:I25,0)</f>
        <v/>
      </c>
      <c r="B24" s="8">
        <f>Grades!A7</f>
        <v/>
      </c>
      <c r="C24" s="8">
        <f>Grades!B7</f>
        <v/>
      </c>
      <c r="D24" s="8">
        <f>Grades!I7</f>
        <v/>
      </c>
      <c r="E24" s="8">
        <f>Grades!J7</f>
        <v/>
      </c>
    </row>
    <row r="25">
      <c r="A25" s="6">
        <f>RANK(Grades!I8,Grades!I2:I25,0)</f>
        <v/>
      </c>
      <c r="B25" s="6">
        <f>Grades!A8</f>
        <v/>
      </c>
      <c r="C25" s="6">
        <f>Grades!B8</f>
        <v/>
      </c>
      <c r="D25" s="6">
        <f>Grades!I8</f>
        <v/>
      </c>
      <c r="E25" s="6">
        <f>Grades!J8</f>
        <v/>
      </c>
    </row>
    <row r="26">
      <c r="A26" s="8">
        <f>RANK(Grades!I9,Grades!I2:I25,0)</f>
        <v/>
      </c>
      <c r="B26" s="8">
        <f>Grades!A9</f>
        <v/>
      </c>
      <c r="C26" s="8">
        <f>Grades!B9</f>
        <v/>
      </c>
      <c r="D26" s="8">
        <f>Grades!I9</f>
        <v/>
      </c>
      <c r="E26" s="8">
        <f>Grades!J9</f>
        <v/>
      </c>
    </row>
    <row r="27">
      <c r="A27" s="6">
        <f>RANK(Grades!I10,Grades!I2:I25,0)</f>
        <v/>
      </c>
      <c r="B27" s="6">
        <f>Grades!A10</f>
        <v/>
      </c>
      <c r="C27" s="6">
        <f>Grades!B10</f>
        <v/>
      </c>
      <c r="D27" s="6">
        <f>Grades!I10</f>
        <v/>
      </c>
      <c r="E27" s="6">
        <f>Grades!J10</f>
        <v/>
      </c>
    </row>
    <row r="28">
      <c r="A28" s="8">
        <f>RANK(Grades!I11,Grades!I2:I25,0)</f>
        <v/>
      </c>
      <c r="B28" s="8">
        <f>Grades!A11</f>
        <v/>
      </c>
      <c r="C28" s="8">
        <f>Grades!B11</f>
        <v/>
      </c>
      <c r="D28" s="8">
        <f>Grades!I11</f>
        <v/>
      </c>
      <c r="E28" s="8">
        <f>Grades!J11</f>
        <v/>
      </c>
    </row>
    <row r="29">
      <c r="A29" s="6">
        <f>RANK(Grades!I12,Grades!I2:I25,0)</f>
        <v/>
      </c>
      <c r="B29" s="6">
        <f>Grades!A12</f>
        <v/>
      </c>
      <c r="C29" s="6">
        <f>Grades!B12</f>
        <v/>
      </c>
      <c r="D29" s="6">
        <f>Grades!I12</f>
        <v/>
      </c>
      <c r="E29" s="6">
        <f>Grades!J12</f>
        <v/>
      </c>
    </row>
    <row r="30">
      <c r="A30" s="8">
        <f>RANK(Grades!I13,Grades!I2:I25,0)</f>
        <v/>
      </c>
      <c r="B30" s="8">
        <f>Grades!A13</f>
        <v/>
      </c>
      <c r="C30" s="8">
        <f>Grades!B13</f>
        <v/>
      </c>
      <c r="D30" s="8">
        <f>Grades!I13</f>
        <v/>
      </c>
      <c r="E30" s="8">
        <f>Grades!J13</f>
        <v/>
      </c>
    </row>
    <row r="31">
      <c r="A31" s="6">
        <f>RANK(Grades!I14,Grades!I2:I25,0)</f>
        <v/>
      </c>
      <c r="B31" s="6">
        <f>Grades!A14</f>
        <v/>
      </c>
      <c r="C31" s="6">
        <f>Grades!B14</f>
        <v/>
      </c>
      <c r="D31" s="6">
        <f>Grades!I14</f>
        <v/>
      </c>
      <c r="E31" s="6">
        <f>Grades!J14</f>
        <v/>
      </c>
    </row>
    <row r="32">
      <c r="A32" s="8">
        <f>RANK(Grades!I15,Grades!I2:I25,0)</f>
        <v/>
      </c>
      <c r="B32" s="8">
        <f>Grades!A15</f>
        <v/>
      </c>
      <c r="C32" s="8">
        <f>Grades!B15</f>
        <v/>
      </c>
      <c r="D32" s="8">
        <f>Grades!I15</f>
        <v/>
      </c>
      <c r="E32" s="8">
        <f>Grades!J15</f>
        <v/>
      </c>
    </row>
    <row r="33">
      <c r="A33" s="6">
        <f>RANK(Grades!I16,Grades!I2:I25,0)</f>
        <v/>
      </c>
      <c r="B33" s="6">
        <f>Grades!A16</f>
        <v/>
      </c>
      <c r="C33" s="6">
        <f>Grades!B16</f>
        <v/>
      </c>
      <c r="D33" s="6">
        <f>Grades!I16</f>
        <v/>
      </c>
      <c r="E33" s="6">
        <f>Grades!J16</f>
        <v/>
      </c>
    </row>
    <row r="34">
      <c r="A34" s="8">
        <f>RANK(Grades!I17,Grades!I2:I25,0)</f>
        <v/>
      </c>
      <c r="B34" s="8">
        <f>Grades!A17</f>
        <v/>
      </c>
      <c r="C34" s="8">
        <f>Grades!B17</f>
        <v/>
      </c>
      <c r="D34" s="8">
        <f>Grades!I17</f>
        <v/>
      </c>
      <c r="E34" s="8">
        <f>Grades!J17</f>
        <v/>
      </c>
    </row>
    <row r="35">
      <c r="A35" s="6">
        <f>RANK(Grades!I18,Grades!I2:I25,0)</f>
        <v/>
      </c>
      <c r="B35" s="6">
        <f>Grades!A18</f>
        <v/>
      </c>
      <c r="C35" s="6">
        <f>Grades!B18</f>
        <v/>
      </c>
      <c r="D35" s="6">
        <f>Grades!I18</f>
        <v/>
      </c>
      <c r="E35" s="6">
        <f>Grades!J18</f>
        <v/>
      </c>
    </row>
    <row r="36">
      <c r="A36" s="8">
        <f>RANK(Grades!I19,Grades!I2:I25,0)</f>
        <v/>
      </c>
      <c r="B36" s="8">
        <f>Grades!A19</f>
        <v/>
      </c>
      <c r="C36" s="8">
        <f>Grades!B19</f>
        <v/>
      </c>
      <c r="D36" s="8">
        <f>Grades!I19</f>
        <v/>
      </c>
      <c r="E36" s="8">
        <f>Grades!J19</f>
        <v/>
      </c>
    </row>
    <row r="37">
      <c r="A37" s="6">
        <f>RANK(Grades!I20,Grades!I2:I25,0)</f>
        <v/>
      </c>
      <c r="B37" s="6">
        <f>Grades!A20</f>
        <v/>
      </c>
      <c r="C37" s="6">
        <f>Grades!B20</f>
        <v/>
      </c>
      <c r="D37" s="6">
        <f>Grades!I20</f>
        <v/>
      </c>
      <c r="E37" s="6">
        <f>Grades!J20</f>
        <v/>
      </c>
    </row>
    <row r="38">
      <c r="A38" s="8">
        <f>RANK(Grades!I21,Grades!I2:I25,0)</f>
        <v/>
      </c>
      <c r="B38" s="8">
        <f>Grades!A21</f>
        <v/>
      </c>
      <c r="C38" s="8">
        <f>Grades!B21</f>
        <v/>
      </c>
      <c r="D38" s="8">
        <f>Grades!I21</f>
        <v/>
      </c>
      <c r="E38" s="8">
        <f>Grades!J21</f>
        <v/>
      </c>
    </row>
    <row r="39">
      <c r="A39" s="6">
        <f>RANK(Grades!I22,Grades!I2:I25,0)</f>
        <v/>
      </c>
      <c r="B39" s="6">
        <f>Grades!A22</f>
        <v/>
      </c>
      <c r="C39" s="6">
        <f>Grades!B22</f>
        <v/>
      </c>
      <c r="D39" s="6">
        <f>Grades!I22</f>
        <v/>
      </c>
      <c r="E39" s="6">
        <f>Grades!J22</f>
        <v/>
      </c>
    </row>
    <row r="40">
      <c r="A40" s="8">
        <f>RANK(Grades!I23,Grades!I2:I25,0)</f>
        <v/>
      </c>
      <c r="B40" s="8">
        <f>Grades!A23</f>
        <v/>
      </c>
      <c r="C40" s="8">
        <f>Grades!B23</f>
        <v/>
      </c>
      <c r="D40" s="8">
        <f>Grades!I23</f>
        <v/>
      </c>
      <c r="E40" s="8">
        <f>Grades!J23</f>
        <v/>
      </c>
    </row>
    <row r="41">
      <c r="A41" s="6">
        <f>RANK(Grades!I24,Grades!I2:I25,0)</f>
        <v/>
      </c>
      <c r="B41" s="6">
        <f>Grades!A24</f>
        <v/>
      </c>
      <c r="C41" s="6">
        <f>Grades!B24</f>
        <v/>
      </c>
      <c r="D41" s="6">
        <f>Grades!I24</f>
        <v/>
      </c>
      <c r="E41" s="6">
        <f>Grades!J24</f>
        <v/>
      </c>
    </row>
    <row r="42">
      <c r="A42" s="8">
        <f>RANK(Grades!I25,Grades!I2:I25,0)</f>
        <v/>
      </c>
      <c r="B42" s="8">
        <f>Grades!A25</f>
        <v/>
      </c>
      <c r="C42" s="8">
        <f>Grades!B25</f>
        <v/>
      </c>
      <c r="D42" s="8">
        <f>Grades!I25</f>
        <v/>
      </c>
      <c r="E42" s="8">
        <f>Grades!J25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8" customWidth="1" min="5" max="5"/>
    <col width="16" customWidth="1" min="6" max="6"/>
    <col width="12" customWidth="1" min="7" max="7"/>
  </cols>
  <sheetData>
    <row r="1">
      <c r="A1" s="16" t="inlineStr">
        <is>
          <t>STUDENT REPORT CARDS</t>
        </is>
      </c>
    </row>
    <row r="2">
      <c r="A2" s="4" t="inlineStr">
        <is>
          <t>Student ID</t>
        </is>
      </c>
      <c r="B2" s="4" t="inlineStr">
        <is>
          <t>Name</t>
        </is>
      </c>
      <c r="C2" s="4" t="inlineStr">
        <is>
          <t>Total</t>
        </is>
      </c>
      <c r="D2" s="4" t="inlineStr">
        <is>
          <t>Average</t>
        </is>
      </c>
      <c r="E2" s="4" t="inlineStr">
        <is>
          <t>Grade</t>
        </is>
      </c>
      <c r="F2" s="4" t="inlineStr">
        <is>
          <t>Remarks</t>
        </is>
      </c>
      <c r="G2" s="4" t="inlineStr">
        <is>
          <t>Attendance</t>
        </is>
      </c>
    </row>
    <row r="3">
      <c r="A3" s="6">
        <f>Grades!A2</f>
        <v/>
      </c>
      <c r="B3" s="6">
        <f>Grades!B2</f>
        <v/>
      </c>
      <c r="C3" s="6">
        <f>Grades!H2</f>
        <v/>
      </c>
      <c r="D3" s="6">
        <f>Grades!I2</f>
        <v/>
      </c>
      <c r="E3" s="6">
        <f>Grades!J2</f>
        <v/>
      </c>
      <c r="F3" s="6">
        <f>Grades!K2</f>
        <v/>
      </c>
      <c r="G3" s="6">
        <f>Students!L2</f>
        <v/>
      </c>
    </row>
    <row r="4">
      <c r="A4" s="8">
        <f>Grades!A3</f>
        <v/>
      </c>
      <c r="B4" s="8">
        <f>Grades!B3</f>
        <v/>
      </c>
      <c r="C4" s="8">
        <f>Grades!H3</f>
        <v/>
      </c>
      <c r="D4" s="8">
        <f>Grades!I3</f>
        <v/>
      </c>
      <c r="E4" s="8">
        <f>Grades!J3</f>
        <v/>
      </c>
      <c r="F4" s="8">
        <f>Grades!K3</f>
        <v/>
      </c>
      <c r="G4" s="8">
        <f>Students!L3</f>
        <v/>
      </c>
    </row>
    <row r="5">
      <c r="A5" s="6">
        <f>Grades!A4</f>
        <v/>
      </c>
      <c r="B5" s="6">
        <f>Grades!B4</f>
        <v/>
      </c>
      <c r="C5" s="6">
        <f>Grades!H4</f>
        <v/>
      </c>
      <c r="D5" s="6">
        <f>Grades!I4</f>
        <v/>
      </c>
      <c r="E5" s="6">
        <f>Grades!J4</f>
        <v/>
      </c>
      <c r="F5" s="6">
        <f>Grades!K4</f>
        <v/>
      </c>
      <c r="G5" s="6">
        <f>Students!L4</f>
        <v/>
      </c>
    </row>
    <row r="6">
      <c r="A6" s="8">
        <f>Grades!A5</f>
        <v/>
      </c>
      <c r="B6" s="8">
        <f>Grades!B5</f>
        <v/>
      </c>
      <c r="C6" s="8">
        <f>Grades!H5</f>
        <v/>
      </c>
      <c r="D6" s="8">
        <f>Grades!I5</f>
        <v/>
      </c>
      <c r="E6" s="8">
        <f>Grades!J5</f>
        <v/>
      </c>
      <c r="F6" s="8">
        <f>Grades!K5</f>
        <v/>
      </c>
      <c r="G6" s="8">
        <f>Students!L5</f>
        <v/>
      </c>
    </row>
    <row r="7">
      <c r="A7" s="6">
        <f>Grades!A6</f>
        <v/>
      </c>
      <c r="B7" s="6">
        <f>Grades!B6</f>
        <v/>
      </c>
      <c r="C7" s="6">
        <f>Grades!H6</f>
        <v/>
      </c>
      <c r="D7" s="6">
        <f>Grades!I6</f>
        <v/>
      </c>
      <c r="E7" s="6">
        <f>Grades!J6</f>
        <v/>
      </c>
      <c r="F7" s="6">
        <f>Grades!K6</f>
        <v/>
      </c>
      <c r="G7" s="6">
        <f>Students!L6</f>
        <v/>
      </c>
    </row>
    <row r="8">
      <c r="A8" s="8">
        <f>Grades!A7</f>
        <v/>
      </c>
      <c r="B8" s="8">
        <f>Grades!B7</f>
        <v/>
      </c>
      <c r="C8" s="8">
        <f>Grades!H7</f>
        <v/>
      </c>
      <c r="D8" s="8">
        <f>Grades!I7</f>
        <v/>
      </c>
      <c r="E8" s="8">
        <f>Grades!J7</f>
        <v/>
      </c>
      <c r="F8" s="8">
        <f>Grades!K7</f>
        <v/>
      </c>
      <c r="G8" s="8">
        <f>Students!L7</f>
        <v/>
      </c>
    </row>
    <row r="9">
      <c r="A9" s="6">
        <f>Grades!A8</f>
        <v/>
      </c>
      <c r="B9" s="6">
        <f>Grades!B8</f>
        <v/>
      </c>
      <c r="C9" s="6">
        <f>Grades!H8</f>
        <v/>
      </c>
      <c r="D9" s="6">
        <f>Grades!I8</f>
        <v/>
      </c>
      <c r="E9" s="6">
        <f>Grades!J8</f>
        <v/>
      </c>
      <c r="F9" s="6">
        <f>Grades!K8</f>
        <v/>
      </c>
      <c r="G9" s="6">
        <f>Students!L8</f>
        <v/>
      </c>
    </row>
    <row r="10">
      <c r="A10" s="8">
        <f>Grades!A9</f>
        <v/>
      </c>
      <c r="B10" s="8">
        <f>Grades!B9</f>
        <v/>
      </c>
      <c r="C10" s="8">
        <f>Grades!H9</f>
        <v/>
      </c>
      <c r="D10" s="8">
        <f>Grades!I9</f>
        <v/>
      </c>
      <c r="E10" s="8">
        <f>Grades!J9</f>
        <v/>
      </c>
      <c r="F10" s="8">
        <f>Grades!K9</f>
        <v/>
      </c>
      <c r="G10" s="8">
        <f>Students!L9</f>
        <v/>
      </c>
    </row>
    <row r="11">
      <c r="A11" s="6">
        <f>Grades!A10</f>
        <v/>
      </c>
      <c r="B11" s="6">
        <f>Grades!B10</f>
        <v/>
      </c>
      <c r="C11" s="6">
        <f>Grades!H10</f>
        <v/>
      </c>
      <c r="D11" s="6">
        <f>Grades!I10</f>
        <v/>
      </c>
      <c r="E11" s="6">
        <f>Grades!J10</f>
        <v/>
      </c>
      <c r="F11" s="6">
        <f>Grades!K10</f>
        <v/>
      </c>
      <c r="G11" s="6">
        <f>Students!L10</f>
        <v/>
      </c>
    </row>
    <row r="12">
      <c r="A12" s="8">
        <f>Grades!A11</f>
        <v/>
      </c>
      <c r="B12" s="8">
        <f>Grades!B11</f>
        <v/>
      </c>
      <c r="C12" s="8">
        <f>Grades!H11</f>
        <v/>
      </c>
      <c r="D12" s="8">
        <f>Grades!I11</f>
        <v/>
      </c>
      <c r="E12" s="8">
        <f>Grades!J11</f>
        <v/>
      </c>
      <c r="F12" s="8">
        <f>Grades!K11</f>
        <v/>
      </c>
      <c r="G12" s="8">
        <f>Students!L11</f>
        <v/>
      </c>
    </row>
    <row r="13">
      <c r="A13" s="6">
        <f>Grades!A12</f>
        <v/>
      </c>
      <c r="B13" s="6">
        <f>Grades!B12</f>
        <v/>
      </c>
      <c r="C13" s="6">
        <f>Grades!H12</f>
        <v/>
      </c>
      <c r="D13" s="6">
        <f>Grades!I12</f>
        <v/>
      </c>
      <c r="E13" s="6">
        <f>Grades!J12</f>
        <v/>
      </c>
      <c r="F13" s="6">
        <f>Grades!K12</f>
        <v/>
      </c>
      <c r="G13" s="6">
        <f>Students!L12</f>
        <v/>
      </c>
    </row>
    <row r="14">
      <c r="A14" s="8">
        <f>Grades!A13</f>
        <v/>
      </c>
      <c r="B14" s="8">
        <f>Grades!B13</f>
        <v/>
      </c>
      <c r="C14" s="8">
        <f>Grades!H13</f>
        <v/>
      </c>
      <c r="D14" s="8">
        <f>Grades!I13</f>
        <v/>
      </c>
      <c r="E14" s="8">
        <f>Grades!J13</f>
        <v/>
      </c>
      <c r="F14" s="8">
        <f>Grades!K13</f>
        <v/>
      </c>
      <c r="G14" s="8">
        <f>Students!L13</f>
        <v/>
      </c>
    </row>
    <row r="15">
      <c r="A15" s="6">
        <f>Grades!A14</f>
        <v/>
      </c>
      <c r="B15" s="6">
        <f>Grades!B14</f>
        <v/>
      </c>
      <c r="C15" s="6">
        <f>Grades!H14</f>
        <v/>
      </c>
      <c r="D15" s="6">
        <f>Grades!I14</f>
        <v/>
      </c>
      <c r="E15" s="6">
        <f>Grades!J14</f>
        <v/>
      </c>
      <c r="F15" s="6">
        <f>Grades!K14</f>
        <v/>
      </c>
      <c r="G15" s="6">
        <f>Students!L14</f>
        <v/>
      </c>
    </row>
    <row r="16">
      <c r="A16" s="8">
        <f>Grades!A15</f>
        <v/>
      </c>
      <c r="B16" s="8">
        <f>Grades!B15</f>
        <v/>
      </c>
      <c r="C16" s="8">
        <f>Grades!H15</f>
        <v/>
      </c>
      <c r="D16" s="8">
        <f>Grades!I15</f>
        <v/>
      </c>
      <c r="E16" s="8">
        <f>Grades!J15</f>
        <v/>
      </c>
      <c r="F16" s="8">
        <f>Grades!K15</f>
        <v/>
      </c>
      <c r="G16" s="8">
        <f>Students!L15</f>
        <v/>
      </c>
    </row>
    <row r="17">
      <c r="A17" s="6">
        <f>Grades!A16</f>
        <v/>
      </c>
      <c r="B17" s="6">
        <f>Grades!B16</f>
        <v/>
      </c>
      <c r="C17" s="6">
        <f>Grades!H16</f>
        <v/>
      </c>
      <c r="D17" s="6">
        <f>Grades!I16</f>
        <v/>
      </c>
      <c r="E17" s="6">
        <f>Grades!J16</f>
        <v/>
      </c>
      <c r="F17" s="6">
        <f>Grades!K16</f>
        <v/>
      </c>
      <c r="G17" s="6">
        <f>Students!L16</f>
        <v/>
      </c>
    </row>
    <row r="18">
      <c r="A18" s="8">
        <f>Grades!A17</f>
        <v/>
      </c>
      <c r="B18" s="8">
        <f>Grades!B17</f>
        <v/>
      </c>
      <c r="C18" s="8">
        <f>Grades!H17</f>
        <v/>
      </c>
      <c r="D18" s="8">
        <f>Grades!I17</f>
        <v/>
      </c>
      <c r="E18" s="8">
        <f>Grades!J17</f>
        <v/>
      </c>
      <c r="F18" s="8">
        <f>Grades!K17</f>
        <v/>
      </c>
      <c r="G18" s="8">
        <f>Students!L17</f>
        <v/>
      </c>
    </row>
    <row r="19">
      <c r="A19" s="6">
        <f>Grades!A18</f>
        <v/>
      </c>
      <c r="B19" s="6">
        <f>Grades!B18</f>
        <v/>
      </c>
      <c r="C19" s="6">
        <f>Grades!H18</f>
        <v/>
      </c>
      <c r="D19" s="6">
        <f>Grades!I18</f>
        <v/>
      </c>
      <c r="E19" s="6">
        <f>Grades!J18</f>
        <v/>
      </c>
      <c r="F19" s="6">
        <f>Grades!K18</f>
        <v/>
      </c>
      <c r="G19" s="6">
        <f>Students!L18</f>
        <v/>
      </c>
    </row>
    <row r="20">
      <c r="A20" s="8">
        <f>Grades!A19</f>
        <v/>
      </c>
      <c r="B20" s="8">
        <f>Grades!B19</f>
        <v/>
      </c>
      <c r="C20" s="8">
        <f>Grades!H19</f>
        <v/>
      </c>
      <c r="D20" s="8">
        <f>Grades!I19</f>
        <v/>
      </c>
      <c r="E20" s="8">
        <f>Grades!J19</f>
        <v/>
      </c>
      <c r="F20" s="8">
        <f>Grades!K19</f>
        <v/>
      </c>
      <c r="G20" s="8">
        <f>Students!L19</f>
        <v/>
      </c>
    </row>
    <row r="21">
      <c r="A21" s="6">
        <f>Grades!A20</f>
        <v/>
      </c>
      <c r="B21" s="6">
        <f>Grades!B20</f>
        <v/>
      </c>
      <c r="C21" s="6">
        <f>Grades!H20</f>
        <v/>
      </c>
      <c r="D21" s="6">
        <f>Grades!I20</f>
        <v/>
      </c>
      <c r="E21" s="6">
        <f>Grades!J20</f>
        <v/>
      </c>
      <c r="F21" s="6">
        <f>Grades!K20</f>
        <v/>
      </c>
      <c r="G21" s="6">
        <f>Students!L20</f>
        <v/>
      </c>
    </row>
    <row r="22">
      <c r="A22" s="8">
        <f>Grades!A21</f>
        <v/>
      </c>
      <c r="B22" s="8">
        <f>Grades!B21</f>
        <v/>
      </c>
      <c r="C22" s="8">
        <f>Grades!H21</f>
        <v/>
      </c>
      <c r="D22" s="8">
        <f>Grades!I21</f>
        <v/>
      </c>
      <c r="E22" s="8">
        <f>Grades!J21</f>
        <v/>
      </c>
      <c r="F22" s="8">
        <f>Grades!K21</f>
        <v/>
      </c>
      <c r="G22" s="8">
        <f>Students!L21</f>
        <v/>
      </c>
    </row>
    <row r="23">
      <c r="A23" s="6">
        <f>Grades!A22</f>
        <v/>
      </c>
      <c r="B23" s="6">
        <f>Grades!B22</f>
        <v/>
      </c>
      <c r="C23" s="6">
        <f>Grades!H22</f>
        <v/>
      </c>
      <c r="D23" s="6">
        <f>Grades!I22</f>
        <v/>
      </c>
      <c r="E23" s="6">
        <f>Grades!J22</f>
        <v/>
      </c>
      <c r="F23" s="6">
        <f>Grades!K22</f>
        <v/>
      </c>
      <c r="G23" s="6">
        <f>Students!L22</f>
        <v/>
      </c>
    </row>
    <row r="24">
      <c r="A24" s="8">
        <f>Grades!A23</f>
        <v/>
      </c>
      <c r="B24" s="8">
        <f>Grades!B23</f>
        <v/>
      </c>
      <c r="C24" s="8">
        <f>Grades!H23</f>
        <v/>
      </c>
      <c r="D24" s="8">
        <f>Grades!I23</f>
        <v/>
      </c>
      <c r="E24" s="8">
        <f>Grades!J23</f>
        <v/>
      </c>
      <c r="F24" s="8">
        <f>Grades!K23</f>
        <v/>
      </c>
      <c r="G24" s="8">
        <f>Students!L23</f>
        <v/>
      </c>
    </row>
    <row r="25">
      <c r="A25" s="6">
        <f>Grades!A24</f>
        <v/>
      </c>
      <c r="B25" s="6">
        <f>Grades!B24</f>
        <v/>
      </c>
      <c r="C25" s="6">
        <f>Grades!H24</f>
        <v/>
      </c>
      <c r="D25" s="6">
        <f>Grades!I24</f>
        <v/>
      </c>
      <c r="E25" s="6">
        <f>Grades!J24</f>
        <v/>
      </c>
      <c r="F25" s="6">
        <f>Grades!K24</f>
        <v/>
      </c>
      <c r="G25" s="6">
        <f>Students!L24</f>
        <v/>
      </c>
    </row>
    <row r="26">
      <c r="A26" s="8">
        <f>Grades!A25</f>
        <v/>
      </c>
      <c r="B26" s="8">
        <f>Grades!B25</f>
        <v/>
      </c>
      <c r="C26" s="8">
        <f>Grades!H25</f>
        <v/>
      </c>
      <c r="D26" s="8">
        <f>Grades!I25</f>
        <v/>
      </c>
      <c r="E26" s="8">
        <f>Grades!J25</f>
        <v/>
      </c>
      <c r="F26" s="8">
        <f>Grades!K25</f>
        <v/>
      </c>
      <c r="G26" s="8">
        <f>Students!L25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2026-08-05T11:06:58Z</dcterms:created>
  <dcterms:modified xmlns:dcterms="http://purl.org/dc/terms/" xmlns:xsi="http://www.w3.org/2001/XMLSchema-instance" xsi:type="dcterms:W3CDTF">2026-08-05T11:06:59Z</dcterms:modified>
</cp:coreProperties>
</file>